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PR_votes" sheetId="1" state="visible" r:id="rId1"/>
    <sheet xmlns:r="http://schemas.openxmlformats.org/officeDocument/2006/relationships"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EEF3F8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2" fillId="0" borderId="0"/>
    <xf numFmtId="9" fontId="2" fillId="0" borderId="0"/>
    <xf numFmtId="43" fontId="2" fillId="0" borderId="0"/>
    <xf numFmtId="0" fontId="4" fillId="3" borderId="2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10" fontId="2" fillId="0" borderId="0" applyAlignment="1" pivotButton="0" quotePrefix="0" xfId="1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" fontId="2" fillId="0" borderId="0" applyAlignment="1" pivotButton="0" quotePrefix="0" xfId="2">
      <alignment horizontal="center" vertical="center"/>
    </xf>
    <xf numFmtId="0" fontId="4" fillId="3" borderId="2" applyAlignment="1" pivotButton="0" quotePrefix="0" xfId="3">
      <alignment horizontal="center" vertical="center"/>
    </xf>
    <xf numFmtId="0" fontId="4" fillId="3" borderId="2" applyAlignment="1" pivotButton="0" quotePrefix="0" xfId="3">
      <alignment horizontal="left" vertical="center" wrapText="1"/>
    </xf>
    <xf numFmtId="1" fontId="4" fillId="3" borderId="2" applyAlignment="1" pivotButton="0" quotePrefix="0" xfId="3">
      <alignment horizontal="center" vertical="center"/>
    </xf>
    <xf numFmtId="0" fontId="5" fillId="2" borderId="1" applyAlignment="1" pivotButton="0" quotePrefix="0" xfId="0">
      <alignment horizontal="center" vertical="center" wrapText="1"/>
    </xf>
  </cellXfs>
  <cellStyles count="4">
    <cellStyle name="Normal" xfId="0" builtinId="0"/>
    <cellStyle name="Percent" xfId="1" builtinId="5"/>
    <cellStyle name="Comma" xfId="2" builtinId="3"/>
    <cellStyle name="Output" xfId="3" builtin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C8" sqref="C8"/>
    </sheetView>
  </sheetViews>
  <sheetFormatPr baseColWidth="8" defaultColWidth="5.6640625" defaultRowHeight="30" customHeight="1"/>
  <cols>
    <col width="5.6640625" customWidth="1" style="3" min="1" max="1"/>
    <col width="32.33203125" customWidth="1" style="5" min="2" max="2"/>
    <col width="13.6640625" customWidth="1" style="3" min="3" max="3"/>
    <col width="52.88671875" bestFit="1" customWidth="1" min="4" max="4"/>
  </cols>
  <sheetData>
    <row r="1" ht="22.5" customHeight="1">
      <c r="A1" s="2" t="inlineStr">
        <is>
          <t>SYM</t>
        </is>
      </c>
      <c r="B1" s="4" t="inlineStr">
        <is>
          <t>Party</t>
        </is>
      </c>
      <c r="C1" s="2" t="inlineStr">
        <is>
          <t>Votes</t>
        </is>
      </c>
      <c r="D1" s="1" t="inlineStr">
        <is>
          <t>Logo_URL</t>
        </is>
      </c>
    </row>
    <row r="2" ht="30" customHeight="1">
      <c r="A2" s="3">
        <f>_xlfn.IMAGE(D2, "Logo: राष्ट्रिय स्वतन्त्र पार्टी", 1)</f>
        <v/>
      </c>
      <c r="B2" s="5" t="inlineStr">
        <is>
          <t>राष्ट्रिय स्वतन्त्र पार्टी</t>
        </is>
      </c>
      <c r="C2" t="n">
        <v>4684090</v>
      </c>
      <c r="D2" t="inlineStr">
        <is>
          <t>https://result.election.gov.np/Images/symbol-hor-pa/2528.jpg</t>
        </is>
      </c>
    </row>
    <row r="3" ht="30" customHeight="1">
      <c r="A3" s="3">
        <f>_xlfn.IMAGE(D3, "Logo: राष्ट्रिय स्वतन्त्र पार्टी", 1)</f>
        <v/>
      </c>
      <c r="B3" s="5" t="inlineStr">
        <is>
          <t>नेपाली काँग्रेस</t>
        </is>
      </c>
      <c r="C3" t="n">
        <v>1576440</v>
      </c>
      <c r="D3" t="inlineStr">
        <is>
          <t>https://result.election.gov.np/Images/symbol-hor-pa/2583.jpg</t>
        </is>
      </c>
    </row>
    <row r="4" ht="30" customHeight="1">
      <c r="A4" s="3">
        <f>_xlfn.IMAGE(D4, "Logo: राष्ट्रिय स्वतन्त्र पार्टी", 1)</f>
        <v/>
      </c>
      <c r="B4" s="5" t="inlineStr">
        <is>
          <t>नेपाल कम्युनिष्ट पार्टी (एकीकृत मार्क्सवादी लेनिनवादी)</t>
        </is>
      </c>
      <c r="C4" t="n">
        <v>1314367</v>
      </c>
      <c r="D4" t="inlineStr">
        <is>
          <t>https://result.election.gov.np/Images/symbol-hor-pa/2598.jpg</t>
        </is>
      </c>
    </row>
    <row r="5" ht="30" customHeight="1">
      <c r="A5" s="3">
        <f>_xlfn.IMAGE(D5, "Logo: राष्ट्रिय स्वतन्त्र पार्टी", 1)</f>
        <v/>
      </c>
      <c r="B5" s="5" t="inlineStr">
        <is>
          <t>नेपाली कम्युनिष्ट पार्टी</t>
        </is>
      </c>
      <c r="C5" t="n">
        <v>708602</v>
      </c>
      <c r="D5" t="inlineStr">
        <is>
          <t>https://result.election.gov.np/Images/symbol-hor-pa/2557.jpg</t>
        </is>
      </c>
    </row>
    <row r="6" ht="30" customHeight="1">
      <c r="A6" s="3">
        <f>_xlfn.IMAGE(D6, "Logo: राष्ट्रिय स्वतन्त्र पार्टी", 1)</f>
        <v/>
      </c>
      <c r="B6" s="5" t="inlineStr">
        <is>
          <t>श्रम संस्कृति पार्टी</t>
        </is>
      </c>
      <c r="C6" t="n">
        <v>332249</v>
      </c>
      <c r="D6" t="inlineStr">
        <is>
          <t>https://result.election.gov.np/Images/symbol-hor-pa/2501.jpg</t>
        </is>
      </c>
    </row>
    <row r="7" ht="30" customHeight="1">
      <c r="A7" s="3">
        <f>_xlfn.IMAGE(D7, "Logo: राष्ट्रिय स्वतन्त्र पार्टी", 1)</f>
        <v/>
      </c>
      <c r="B7" s="5" t="inlineStr">
        <is>
          <t>राष्ट्रिय प्रजातन्त्र पार्टी</t>
        </is>
      </c>
      <c r="C7" t="n">
        <v>309074</v>
      </c>
      <c r="D7" t="inlineStr">
        <is>
          <t>https://result.election.gov.np/Images/symbol-hor-pa/2604.jpg</t>
        </is>
      </c>
    </row>
    <row r="8" ht="30" customHeight="1">
      <c r="A8" s="3">
        <f>_xlfn.IMAGE(D8, "Logo: राष्ट्रिय स्वतन्त्र पार्टी", 1)</f>
        <v/>
      </c>
      <c r="B8" s="5" t="inlineStr">
        <is>
          <t>जनता समाजवादी पार्टी, नेपाल</t>
        </is>
      </c>
      <c r="C8" t="n">
        <v>156299</v>
      </c>
      <c r="D8" t="inlineStr">
        <is>
          <t>https://result.election.gov.np/Images/symbol-hor-pa/2542.jpg</t>
        </is>
      </c>
    </row>
    <row r="9" ht="30" customHeight="1">
      <c r="A9" s="3">
        <f>_xlfn.IMAGE(D9, "Logo: राष्ट्रिय स्वतन्त्र पार्टी", 1)</f>
        <v/>
      </c>
      <c r="B9" s="5" t="inlineStr">
        <is>
          <t>राष्ट्रिय परिवर्तन पार्टी</t>
        </is>
      </c>
      <c r="C9" t="n">
        <v>150505</v>
      </c>
      <c r="D9" t="inlineStr">
        <is>
          <t>https://result.election.gov.np/Images/symbol-hor-pa/2568.jpg</t>
        </is>
      </c>
    </row>
    <row r="10" ht="30" customHeight="1">
      <c r="A10" s="3">
        <f>_xlfn.IMAGE(D10, "Logo: राष्ट्रिय स्वतन्त्र पार्टी", 1)</f>
        <v/>
      </c>
      <c r="B10" s="5" t="inlineStr">
        <is>
          <t>जनमत पार्टी</t>
        </is>
      </c>
      <c r="C10" t="n">
        <v>69906</v>
      </c>
      <c r="D10" t="inlineStr">
        <is>
          <t>https://result.election.gov.np/Images/symbol-hor-pa/2585.jpg</t>
        </is>
      </c>
    </row>
    <row r="11" ht="30" customHeight="1">
      <c r="A11" s="3">
        <f>_xlfn.IMAGE(D11, "Logo: राष्ट्रिय स्वतन्त्र पार्टी", 1)</f>
        <v/>
      </c>
      <c r="B11" s="5" t="inlineStr">
        <is>
          <t>एकल चिन्ह चकिया (जाँतो) (राष्ट्रिय मुक्ति पार्टी नेपाल/जनता समाजवादी पार्टी/नागरिक उन्मुक्ति पार्टी, नेपाल)</t>
        </is>
      </c>
      <c r="C11" t="n">
        <v>56210</v>
      </c>
      <c r="D11" t="inlineStr">
        <is>
          <t>https://result.election.gov.np/Images/symbol-hor-pa/2531.jpg</t>
        </is>
      </c>
    </row>
    <row r="12" ht="30" customHeight="1">
      <c r="A12" s="3">
        <f>_xlfn.IMAGE(D12, "Logo: राष्ट्रिय स्वतन्त्र पार्टी", 1)</f>
        <v/>
      </c>
      <c r="B12" s="5" t="inlineStr">
        <is>
          <t>नेपाल मजदुर किसान पार्टी</t>
        </is>
      </c>
      <c r="C12" t="n">
        <v>41231</v>
      </c>
      <c r="D12" t="inlineStr">
        <is>
          <t>https://result.election.gov.np/Images/symbol-hor-pa/2578.jpg</t>
        </is>
      </c>
    </row>
    <row r="13" ht="30" customHeight="1">
      <c r="A13" s="3">
        <f>_xlfn.IMAGE(D13, "Logo: राष्ट्रिय स्वतन्त्र पार्टी", 1)</f>
        <v/>
      </c>
      <c r="B13" s="5" t="inlineStr">
        <is>
          <t>राष्ट्र निर्माण दल नेपाल</t>
        </is>
      </c>
      <c r="C13" t="n">
        <v>33587</v>
      </c>
      <c r="D13" t="inlineStr">
        <is>
          <t>https://result.election.gov.np/Images/symbol-hor-pa/2527.jpg</t>
        </is>
      </c>
    </row>
    <row r="14" ht="30" customHeight="1">
      <c r="A14" s="3">
        <f>_xlfn.IMAGE(D14, "Logo: राष्ट्रिय स्वतन्त्र पार्टी", 1)</f>
        <v/>
      </c>
      <c r="B14" s="5" t="inlineStr">
        <is>
          <t>राष्ट्रिय जनमोर्चा</t>
        </is>
      </c>
      <c r="C14" t="n">
        <v>28985</v>
      </c>
      <c r="D14" t="inlineStr">
        <is>
          <t>https://result.election.gov.np/Images/symbol-hor-pa/2522.jpg</t>
        </is>
      </c>
    </row>
    <row r="15" ht="30" customHeight="1">
      <c r="A15" s="3">
        <f>_xlfn.IMAGE(D15, "Logo: राष्ट्रिय स्वतन्त्र पार्टी", 1)</f>
        <v/>
      </c>
      <c r="B15" s="5" t="inlineStr">
        <is>
          <t>एकल चिन्ह  बस (नेपाल संघीय समाजवादी पार्टी/बहुजन एकता पार्टी नेपाल/नेपाल जनजागृति पार्टी)</t>
        </is>
      </c>
      <c r="C15" t="n">
        <v>25229</v>
      </c>
      <c r="D15" t="inlineStr">
        <is>
          <t>https://result.election.gov.np/Images/symbol-hor-pa/2567.jpg</t>
        </is>
      </c>
    </row>
    <row r="16" ht="30" customHeight="1">
      <c r="A16" s="3">
        <f>_xlfn.IMAGE(D16, "Logo: राष्ट्रिय स्वतन्त्र पार्टी", 1)</f>
        <v/>
      </c>
      <c r="B16" s="5" t="inlineStr">
        <is>
          <t>नेपाल जनता संरक्षण पार्टी</t>
        </is>
      </c>
      <c r="C16" t="n">
        <v>25174</v>
      </c>
      <c r="D16" t="inlineStr">
        <is>
          <t>https://result.election.gov.np/Images/symbol-hor-pa/2541.jpg</t>
        </is>
      </c>
    </row>
    <row r="17" ht="30" customHeight="1">
      <c r="A17" s="3">
        <f>_xlfn.IMAGE(D17, "Logo: राष्ट्रिय स्वतन्त्र पार्टी", 1)</f>
        <v/>
      </c>
      <c r="B17" s="5" t="inlineStr">
        <is>
          <t>प्रगतिशील लोकतान्त्रिक पार्टी</t>
        </is>
      </c>
      <c r="C17" t="n">
        <v>22222</v>
      </c>
      <c r="D17" t="inlineStr">
        <is>
          <t>https://result.election.gov.np/Images/symbol-hor-pa/2516.jpg</t>
        </is>
      </c>
    </row>
    <row r="18" ht="30" customHeight="1">
      <c r="A18" s="3">
        <f>_xlfn.IMAGE(D18, "Logo: राष्ट्रिय स्वतन्त्र पार्टी", 1)</f>
        <v/>
      </c>
      <c r="B18" s="5" t="inlineStr">
        <is>
          <t>नेपाल कम्युनिस्ट पार्टी (माओवादी)</t>
        </is>
      </c>
      <c r="C18" t="n">
        <v>22118</v>
      </c>
      <c r="D18" t="inlineStr">
        <is>
          <t>https://result.election.gov.np/Images/symbol-hor-pa/2526.jpg</t>
        </is>
      </c>
    </row>
    <row r="19" ht="30" customHeight="1">
      <c r="A19" s="3">
        <f>_xlfn.IMAGE(D19, "Logo: राष्ट्रिय स्वतन्त्र पार्टी", 1)</f>
        <v/>
      </c>
      <c r="B19" s="5" t="inlineStr">
        <is>
          <t>मंगोल नेशनल अर्गनाइजेशन</t>
        </is>
      </c>
      <c r="C19" t="n">
        <v>17998</v>
      </c>
      <c r="D19" t="inlineStr">
        <is>
          <t>https://result.election.gov.np/Images/symbol-hor-pa/2511.jpg</t>
        </is>
      </c>
    </row>
    <row r="20" ht="30" customHeight="1">
      <c r="A20" s="3">
        <f>_xlfn.IMAGE(D20, "Logo: राष्ट्रिय स्वतन्त्र पार्टी", 1)</f>
        <v/>
      </c>
      <c r="B20" s="5" t="inlineStr">
        <is>
          <t>सार्वभौम नागरिक पार्टी</t>
        </is>
      </c>
      <c r="C20" t="n">
        <v>13173</v>
      </c>
      <c r="D20" t="inlineStr">
        <is>
          <t>https://result.election.gov.np/Images/symbol-hor-pa/2520.jpg</t>
        </is>
      </c>
    </row>
    <row r="21" ht="30" customHeight="1">
      <c r="A21" s="3">
        <f>_xlfn.IMAGE(D21, "Logo: राष्ट्रिय स्वतन्त्र पार्टी", 1)</f>
        <v/>
      </c>
      <c r="B21" s="5" t="inlineStr">
        <is>
          <t>एकल चिन्ह मोबाइल (आम जनता पार्टी/जनादेश पार्टी नेपाल)</t>
        </is>
      </c>
      <c r="C21" t="n">
        <v>12122</v>
      </c>
      <c r="D21" t="inlineStr">
        <is>
          <t>https://result.election.gov.np/Images/symbol-hor-pa/2581.jpg</t>
        </is>
      </c>
    </row>
    <row r="22" ht="30" customHeight="1">
      <c r="A22" s="3">
        <f>_xlfn.IMAGE(D22, "Logo: राष्ट्रिय स्वतन्त्र पार्टी", 1)</f>
        <v/>
      </c>
      <c r="B22" s="5" t="inlineStr">
        <is>
          <t>राष्ट्रिय मुक्ति आन्दोलन, नेपाल</t>
        </is>
      </c>
      <c r="C22" t="n">
        <v>9369</v>
      </c>
      <c r="D22" t="inlineStr">
        <is>
          <t>https://result.election.gov.np/Images/symbol-hor-pa/2591.jpg</t>
        </is>
      </c>
    </row>
    <row r="23" ht="30" customHeight="1">
      <c r="A23" s="3">
        <f>_xlfn.IMAGE(D23, "Logo: राष्ट्रिय स्वतन्त्र पार्टी", 1)</f>
        <v/>
      </c>
      <c r="B23" s="5" t="inlineStr">
        <is>
          <t>संयुक्त नागरिक पार्टी</t>
        </is>
      </c>
      <c r="C23" t="n">
        <v>7955</v>
      </c>
      <c r="D23" t="inlineStr">
        <is>
          <t>https://result.election.gov.np/Images/symbol-hor-pa/2521.jpg</t>
        </is>
      </c>
    </row>
    <row r="24" ht="30" customHeight="1">
      <c r="A24" s="3">
        <f>_xlfn.IMAGE(D24, "Logo: राष्ट्रिय स्वतन्त्र पार्टी", 1)</f>
        <v/>
      </c>
      <c r="B24" s="5" t="inlineStr">
        <is>
          <t>नेपाल जनता पार्टी</t>
        </is>
      </c>
      <c r="C24" t="n">
        <v>6642</v>
      </c>
      <c r="D24" t="inlineStr">
        <is>
          <t>https://result.election.gov.np/Images/symbol-hor-pa/2507.jpg</t>
        </is>
      </c>
    </row>
    <row r="25" ht="30" customHeight="1">
      <c r="A25" s="3">
        <f>_xlfn.IMAGE(D25, "Logo: राष्ट्रिय स्वतन्त्र पार्टी", 1)</f>
        <v/>
      </c>
      <c r="B25" s="5" t="inlineStr">
        <is>
          <t>राष्ट्रिय जनमुक्ति पार्टी</t>
        </is>
      </c>
      <c r="C25" t="n">
        <v>6443</v>
      </c>
      <c r="D25" t="inlineStr">
        <is>
          <t>https://result.election.gov.np/Images/symbol-hor-pa/2605.jpg</t>
        </is>
      </c>
    </row>
    <row r="26" ht="30" customHeight="1">
      <c r="A26" s="3">
        <f>_xlfn.IMAGE(D26, "Logo: राष्ट्रिय स्वतन्त्र पार्टी", 1)</f>
        <v/>
      </c>
      <c r="B26" s="5" t="inlineStr">
        <is>
          <t>राष्ट्रिय एकता दल</t>
        </is>
      </c>
      <c r="C26" t="n">
        <v>6381</v>
      </c>
      <c r="D26" t="inlineStr">
        <is>
          <t>https://result.election.gov.np/Images/symbol-hor-pa/2548.jpg</t>
        </is>
      </c>
    </row>
    <row r="27" ht="30" customHeight="1">
      <c r="A27" s="3">
        <f>_xlfn.IMAGE(D27, "Logo: राष्ट्रिय स्वतन्त्र पार्टी", 1)</f>
        <v/>
      </c>
      <c r="B27" s="5" t="inlineStr">
        <is>
          <t>स्वाभिमान पार्टी</t>
        </is>
      </c>
      <c r="C27" t="n">
        <v>5892</v>
      </c>
      <c r="D27" t="inlineStr">
        <is>
          <t>https://result.election.gov.np/Images/symbol-hor-pa/2569.jpg</t>
        </is>
      </c>
    </row>
    <row r="28" ht="30" customHeight="1">
      <c r="A28" s="3">
        <f>_xlfn.IMAGE(D28, "Logo: राष्ट्रिय स्वतन्त्र पार्टी", 1)</f>
        <v/>
      </c>
      <c r="B28" s="5" t="inlineStr">
        <is>
          <t>नेपाल कम्युनिष्ट पार्टी (मार्क्सवादी-लेनिनवादी)</t>
        </is>
      </c>
      <c r="C28" t="n">
        <v>5390</v>
      </c>
      <c r="D28" t="inlineStr">
        <is>
          <t>https://result.election.gov.np/Images/symbol-hor-pa/2602.jpg</t>
        </is>
      </c>
    </row>
    <row r="29" ht="30" customHeight="1">
      <c r="A29" s="3">
        <f>_xlfn.IMAGE(D29, "Logo: राष्ट्रिय स्वतन्त्र पार्टी", 1)</f>
        <v/>
      </c>
      <c r="B29" s="5" t="inlineStr">
        <is>
          <t>नेशनल रिपब्लिक नेपाल</t>
        </is>
      </c>
      <c r="C29" t="n">
        <v>4761</v>
      </c>
      <c r="D29" t="inlineStr">
        <is>
          <t>https://result.election.gov.np/Images/symbol-hor-pa/2504.jpg</t>
        </is>
      </c>
    </row>
    <row r="30" ht="30" customHeight="1">
      <c r="A30" s="3">
        <f>_xlfn.IMAGE(D30, "Logo: राष्ट्रिय स्वतन्त्र पार्टी", 1)</f>
        <v/>
      </c>
      <c r="B30" s="5" t="inlineStr">
        <is>
          <t>नेपालका लागि नेपाली पार्टी</t>
        </is>
      </c>
      <c r="C30" t="n">
        <v>4587</v>
      </c>
      <c r="D30" t="inlineStr">
        <is>
          <t>https://result.election.gov.np/Images/symbol-hor-pa/2524.jpg</t>
        </is>
      </c>
    </row>
    <row r="31" ht="30" customHeight="1">
      <c r="A31" s="3">
        <f>_xlfn.IMAGE(D31, "Logo: राष्ट्रिय स्वतन्त्र पार्टी", 1)</f>
        <v/>
      </c>
      <c r="B31" s="5" t="inlineStr">
        <is>
          <t>नेपाल कम्युनिष्ट पार्टी मार्क्सवादी (पुष्पलाल)</t>
        </is>
      </c>
      <c r="C31" t="n">
        <v>4505</v>
      </c>
      <c r="D31" t="inlineStr">
        <is>
          <t>https://result.election.gov.np/Images/symbol-hor-pa/2523.jpg</t>
        </is>
      </c>
    </row>
    <row r="32" ht="30" customHeight="1">
      <c r="A32" s="3">
        <f>_xlfn.IMAGE(D32, "Logo: राष्ट्रिय स्वतन्त्र पार्टी", 1)</f>
        <v/>
      </c>
      <c r="B32" s="5" t="inlineStr">
        <is>
          <t>राष्ट्रिय गौरव पार्टी</t>
        </is>
      </c>
      <c r="C32" t="n">
        <v>4417</v>
      </c>
      <c r="D32" t="inlineStr">
        <is>
          <t>https://result.election.gov.np/Images/symbol-hor-pa/2558.jpg</t>
        </is>
      </c>
    </row>
    <row r="33" ht="30" customHeight="1">
      <c r="A33" s="3">
        <f>_xlfn.IMAGE(D33, "Logo: राष्ट्रिय स्वतन्त्र पार्टी", 1)</f>
        <v/>
      </c>
      <c r="B33" s="5" t="inlineStr">
        <is>
          <t>संघीय लोकतान्त्रिक राष्ट्रिय मञ्च</t>
        </is>
      </c>
      <c r="C33" t="n">
        <v>4354</v>
      </c>
      <c r="D33" t="inlineStr">
        <is>
          <t>https://result.election.gov.np/Images/symbol-hor-pa/2550.jpg</t>
        </is>
      </c>
    </row>
    <row r="34" ht="30" customHeight="1">
      <c r="A34" s="3">
        <f>_xlfn.IMAGE(D34, "Logo: राष्ट्रिय स्वतन्त्र पार्टी", 1)</f>
        <v/>
      </c>
      <c r="B34" s="5" t="inlineStr">
        <is>
          <t>राष्ट्रिय उर्जाशील पार्टी, नेपाल</t>
        </is>
      </c>
      <c r="C34" t="n">
        <v>4097</v>
      </c>
      <c r="D34" t="inlineStr">
        <is>
          <t>https://result.election.gov.np/Images/symbol-hor-pa/2534.jpg</t>
        </is>
      </c>
    </row>
    <row r="35" ht="30" customHeight="1">
      <c r="A35" s="3">
        <f>_xlfn.IMAGE(D35, "Logo: राष्ट्रिय स्वतन्त्र पार्टी", 1)</f>
        <v/>
      </c>
      <c r="B35" s="5" t="inlineStr">
        <is>
          <t>नेपाल कम्युनिष्ट पार्टी (संयुक्त)</t>
        </is>
      </c>
      <c r="C35" t="n">
        <v>3890</v>
      </c>
      <c r="D35" t="inlineStr">
        <is>
          <t>https://result.election.gov.np/Images/symbol-hor-pa/2601.jpg</t>
        </is>
      </c>
    </row>
    <row r="36" ht="30" customHeight="1">
      <c r="A36" s="3">
        <f>_xlfn.IMAGE(D36, "Logo: राष्ट्रिय स्वतन्त्र पार्टी", 1)</f>
        <v/>
      </c>
      <c r="B36" s="5" t="inlineStr">
        <is>
          <t>समावेशी समाजवादी पार्टी नेपाल</t>
        </is>
      </c>
      <c r="C36" t="n">
        <v>3824</v>
      </c>
      <c r="D36" t="inlineStr">
        <is>
          <t>https://result.election.gov.np/Images/symbol-hor-pa/2572.jpg</t>
        </is>
      </c>
    </row>
    <row r="37" ht="30" customHeight="1">
      <c r="A37" s="3">
        <f>_xlfn.IMAGE(D37, "Logo: राष्ट्रिय स्वतन्त्र पार्टी", 1)</f>
        <v/>
      </c>
      <c r="B37" s="5" t="inlineStr">
        <is>
          <t>गतिशील लोकतान्त्रिक पार्टी</t>
        </is>
      </c>
      <c r="C37" t="n">
        <v>3775</v>
      </c>
      <c r="D37" t="inlineStr">
        <is>
          <t>https://result.election.gov.np/Images/symbol-hor-pa/2571.jpg</t>
        </is>
      </c>
    </row>
    <row r="38" ht="30" customHeight="1">
      <c r="A38" s="3">
        <f>_xlfn.IMAGE(D38, "Logo: राष्ट्रिय स्वतन्त्र पार्टी", 1)</f>
        <v/>
      </c>
      <c r="B38" s="5" t="inlineStr">
        <is>
          <t>नेपाल लोकतान्त्रिक पार्टी</t>
        </is>
      </c>
      <c r="C38" t="n">
        <v>3531</v>
      </c>
      <c r="D38" t="inlineStr">
        <is>
          <t>https://result.election.gov.np/Images/symbol-hor-pa/2553.jpg</t>
        </is>
      </c>
    </row>
    <row r="39" ht="30" customHeight="1">
      <c r="A39" s="3">
        <f>_xlfn.IMAGE(D39, "Logo: राष्ट्रिय स्वतन्त्र पार्टी", 1)</f>
        <v/>
      </c>
      <c r="B39" s="5" t="inlineStr">
        <is>
          <t>नेपाल मातृभूमि पार्टी</t>
        </is>
      </c>
      <c r="C39" t="n">
        <v>2887</v>
      </c>
      <c r="D39" t="inlineStr">
        <is>
          <t>https://result.election.gov.np/Images/symbol-hor-pa/2565.jpg</t>
        </is>
      </c>
    </row>
    <row r="40" ht="30" customHeight="1">
      <c r="A40" s="3">
        <f>_xlfn.IMAGE(D40, "Logo: राष्ट्रिय स्वतन्त्र पार्टी", 1)</f>
        <v/>
      </c>
      <c r="B40" s="5" t="inlineStr">
        <is>
          <t>राष्ट्रिय जनता पार्टी नेपाल</t>
        </is>
      </c>
      <c r="C40" t="n">
        <v>2592</v>
      </c>
      <c r="D40" t="inlineStr">
        <is>
          <t>https://result.election.gov.np/Images/symbol-hor-pa/2551.jpg</t>
        </is>
      </c>
    </row>
    <row r="41" ht="30" customHeight="1">
      <c r="A41" s="3">
        <f>_xlfn.IMAGE(D41, "Logo: राष्ट्रिय स्वतन्त्र पार्टी", 1)</f>
        <v/>
      </c>
      <c r="B41" s="5" t="inlineStr">
        <is>
          <t>बहुजन शक्ति पार्टी</t>
        </is>
      </c>
      <c r="C41" t="n">
        <v>2523</v>
      </c>
      <c r="D41" t="inlineStr">
        <is>
          <t>https://result.election.gov.np/Images/symbol-hor-pa/2536.jpg</t>
        </is>
      </c>
    </row>
    <row r="42" ht="30" customHeight="1">
      <c r="A42" s="3">
        <f>_xlfn.IMAGE(D42, "Logo: राष्ट्रिय स्वतन्त्र पार्टी", 1)</f>
        <v/>
      </c>
      <c r="B42" s="5" t="inlineStr">
        <is>
          <t>जय मातृभूमि पार्टी</t>
        </is>
      </c>
      <c r="C42" t="n">
        <v>2516</v>
      </c>
      <c r="D42" t="inlineStr">
        <is>
          <t>https://result.election.gov.np/Images/symbol-hor-pa/2510.jpg</t>
        </is>
      </c>
    </row>
    <row r="43" ht="30" customHeight="1">
      <c r="A43" s="3">
        <f>_xlfn.IMAGE(D43, "Logo: राष्ट्रिय स्वतन्त्र पार्टी", 1)</f>
        <v/>
      </c>
      <c r="B43" s="5" t="inlineStr">
        <is>
          <t>नेपाल जनमुक्ति पार्टी</t>
        </is>
      </c>
      <c r="C43" t="n">
        <v>2006</v>
      </c>
      <c r="D43" t="inlineStr">
        <is>
          <t>https://result.election.gov.np/Images/symbol-hor-pa/2529.jpg</t>
        </is>
      </c>
    </row>
    <row r="44" ht="30" customHeight="1">
      <c r="A44" s="3">
        <f>_xlfn.IMAGE(D44, "Logo: राष्ट्रिय स्वतन्त्र पार्टी", 1)</f>
        <v/>
      </c>
      <c r="B44" s="5" t="inlineStr">
        <is>
          <t>प्रजातान्त्रिक पार्टी नेपाल</t>
        </is>
      </c>
      <c r="C44" t="n">
        <v>1930</v>
      </c>
      <c r="D44" t="inlineStr">
        <is>
          <t>https://result.election.gov.np/Images/symbol-hor-pa/2582.jpg</t>
        </is>
      </c>
    </row>
    <row r="45" ht="30" customHeight="1">
      <c r="A45" s="3">
        <f>_xlfn.IMAGE(D45, "Logo: राष्ट्रिय स्वतन्त्र पार्टी", 1)</f>
        <v/>
      </c>
      <c r="B45" s="5" t="inlineStr">
        <is>
          <t>जन अधिकार पार्टी</t>
        </is>
      </c>
      <c r="C45" t="n">
        <v>1876</v>
      </c>
      <c r="D45" t="inlineStr">
        <is>
          <t>https://result.election.gov.np/Images/symbol-hor-pa/2540.jpg</t>
        </is>
      </c>
    </row>
    <row r="46" ht="30" customHeight="1">
      <c r="A46" s="3">
        <f>_xlfn.IMAGE(D46, "Logo: राष्ट्रिय स्वतन्त्र पार्टी", 1)</f>
        <v/>
      </c>
      <c r="B46" s="5" t="inlineStr">
        <is>
          <t>नेपाल सद्‍भावना पार्टी</t>
        </is>
      </c>
      <c r="C46" t="n">
        <v>1786</v>
      </c>
      <c r="D46" t="inlineStr">
        <is>
          <t>https://result.election.gov.np/Images/symbol-hor-pa/2555.jpg</t>
        </is>
      </c>
    </row>
    <row r="47" ht="30" customHeight="1">
      <c r="A47" s="3">
        <f>_xlfn.IMAGE(D47, "Logo: राष्ट्रिय स्वतन्त्र पार्टी", 1)</f>
        <v/>
      </c>
      <c r="B47" s="5" t="inlineStr">
        <is>
          <t>पिपुल फर्ष्ट पार्टी</t>
        </is>
      </c>
      <c r="C47" t="n">
        <v>1599</v>
      </c>
      <c r="D47" t="inlineStr">
        <is>
          <t>https://result.election.gov.np/Images/symbol-hor-pa/2552.jpg</t>
        </is>
      </c>
    </row>
    <row r="48" ht="30" customHeight="1">
      <c r="A48" s="3">
        <f>_xlfn.IMAGE(D48, "Logo: राष्ट्रिय स्वतन्त्र पार्टी", 1)</f>
        <v/>
      </c>
      <c r="B48" s="5" t="inlineStr">
        <is>
          <t>नेपाली काँग्रेस (वी.पी.)</t>
        </is>
      </c>
      <c r="C48" t="n">
        <v>1561</v>
      </c>
      <c r="D48" t="inlineStr">
        <is>
          <t>https://result.election.gov.np/Images/symbol-hor-pa/2509.jpg</t>
        </is>
      </c>
    </row>
    <row r="49" ht="30" customHeight="1">
      <c r="A49" s="3">
        <f>_xlfn.IMAGE(D49, "Logo: राष्ट्रिय स्वतन्त्र पार्टी", 1)</f>
        <v/>
      </c>
      <c r="B49" s="5" t="inlineStr">
        <is>
          <t>नागरिक शक्ति, नेपाल</t>
        </is>
      </c>
      <c r="C49" t="n">
        <v>1500</v>
      </c>
      <c r="D49" t="inlineStr">
        <is>
          <t>https://result.election.gov.np/Images/symbol-hor-pa/2549.jpg</t>
        </is>
      </c>
    </row>
    <row r="50" ht="30" customHeight="1">
      <c r="A50" s="3">
        <f>_xlfn.IMAGE(D50, "Logo: राष्ट्रिय स्वतन्त्र पार्टी", 1)</f>
        <v/>
      </c>
      <c r="B50" s="5" t="inlineStr">
        <is>
          <t>नेपाली जनश्रमदान संस्कृति पार्टी</t>
        </is>
      </c>
      <c r="C50" t="n">
        <v>1397</v>
      </c>
      <c r="D50" t="inlineStr">
        <is>
          <t>https://result.election.gov.np/Images/symbol-hor-pa/2579.jpg</t>
        </is>
      </c>
    </row>
    <row r="51" ht="30" customHeight="1">
      <c r="A51" s="3">
        <f>_xlfn.IMAGE(D51, "Logo: राष्ट्रिय स्वतन्त्र पार्टी", 1)</f>
        <v/>
      </c>
      <c r="B51" s="5" t="inlineStr">
        <is>
          <t>नेपाली जनता दल</t>
        </is>
      </c>
      <c r="C51" t="n">
        <v>1264</v>
      </c>
      <c r="D51" t="inlineStr">
        <is>
          <t>https://result.election.gov.np/Images/symbol-hor-pa/2595.jpg</t>
        </is>
      </c>
    </row>
    <row r="52" ht="30" customHeight="1">
      <c r="A52" s="3">
        <f>_xlfn.IMAGE(D52, "Logo: राष्ट्रिय स्वतन्त्र पार्टी", 1)</f>
        <v/>
      </c>
      <c r="B52" s="5" t="inlineStr">
        <is>
          <t>समावेशी समाजवादी पार्टी</t>
        </is>
      </c>
      <c r="C52" t="n">
        <v>1230</v>
      </c>
      <c r="D52" t="inlineStr">
        <is>
          <t>https://result.election.gov.np/Images/symbol-hor-pa/2590.jpg</t>
        </is>
      </c>
    </row>
    <row r="53" ht="30" customHeight="1">
      <c r="A53" s="3">
        <f>_xlfn.IMAGE(D53, "Logo: राष्ट्रिय स्वतन्त्र पार्टी", 1)</f>
        <v/>
      </c>
      <c r="B53" s="5" t="inlineStr">
        <is>
          <t>जनता लोकतान्त्रिक पार्टी, नेपाल</t>
        </is>
      </c>
      <c r="C53" t="n">
        <v>1162</v>
      </c>
      <c r="D53" t="inlineStr">
        <is>
          <t>https://result.election.gov.np/Images/symbol-hor-pa/2574.jpg</t>
        </is>
      </c>
    </row>
    <row r="54" ht="30" customHeight="1">
      <c r="A54" s="3">
        <f>_xlfn.IMAGE(D54, "Logo: राष्ट्रिय स्वतन्त्र पार्टी", 1)</f>
        <v/>
      </c>
      <c r="B54" s="5" t="inlineStr">
        <is>
          <t>एकल चिन्ह जगर भएको सिंह(सचेत नेपाली पार्टी/नागरिक सर्वोच्चता पार्टी नेपाल)</t>
        </is>
      </c>
      <c r="C54" t="n">
        <v>1020</v>
      </c>
      <c r="D54" t="inlineStr">
        <is>
          <t>https://result.election.gov.np/Images/symbol-hor-pa/2537.jpg</t>
        </is>
      </c>
    </row>
    <row r="55" ht="30" customHeight="1">
      <c r="A55" s="3">
        <f>_xlfn.IMAGE(D55, "Logo: राष्ट्रिय स्वतन्त्र पार्टी", 1)</f>
        <v/>
      </c>
      <c r="B55" s="5" t="inlineStr">
        <is>
          <t>जनप्रिय लोकतान्त्रिक पार्टी</t>
        </is>
      </c>
      <c r="C55" t="n">
        <v>798</v>
      </c>
      <c r="D55" t="inlineStr">
        <is>
          <t>https://result.election.gov.np/Images/symbol-hor-pa/2564.jpg</t>
        </is>
      </c>
    </row>
    <row r="56" ht="30" customHeight="1">
      <c r="A56" s="3">
        <f>_xlfn.IMAGE(D56, "Logo: राष्ट्रिय स्वतन्त्र पार्टी", 1)</f>
        <v/>
      </c>
      <c r="B56" s="5" t="inlineStr">
        <is>
          <t>मितेरी पार्टी नेपाल</t>
        </is>
      </c>
      <c r="C56" t="n">
        <v>684</v>
      </c>
      <c r="D56" t="inlineStr">
        <is>
          <t>https://result.election.gov.np/Images/symbol-hor-pa/2530.jpg</t>
        </is>
      </c>
    </row>
    <row r="57" ht="30" customHeight="1">
      <c r="A57" s="3">
        <f>_xlfn.IMAGE(D57, "Logo: राष्ट्रिय स्वतन्त्र पार्टी", 1)</f>
        <v/>
      </c>
      <c r="B57" s="5" t="inlineStr">
        <is>
          <t>उन्‍नत लोकतन्त्र पार्टी</t>
        </is>
      </c>
      <c r="C57" t="n">
        <v>663</v>
      </c>
      <c r="D57" t="inlineStr">
        <is>
          <t>https://result.election.gov.np/Images/symbol-hor-pa/2515.jpg</t>
        </is>
      </c>
    </row>
    <row r="58" ht="30" customHeight="1">
      <c r="A58" s="3">
        <f>_xlfn.IMAGE(D58, "Logo: राष्ट्रिय स्वतन्त्र पार्टी", 1)</f>
        <v/>
      </c>
      <c r="B58" s="5" t="inlineStr">
        <is>
          <t>त्रिमुल नेपाल</t>
        </is>
      </c>
      <c r="C58" t="n">
        <v>591</v>
      </c>
      <c r="D58" t="inlineStr">
        <is>
          <t>https://result.election.gov.np/Images/symbol-hor-pa/2505.jpg</t>
        </is>
      </c>
    </row>
    <row r="59" ht="30" customHeight="1">
      <c r="C5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ColWidth="5.6640625" defaultRowHeight="30" customHeight="1"/>
  <cols>
    <col width="5.6640625" customWidth="1" style="3" min="1" max="1"/>
    <col width="32.33203125" customWidth="1" style="5" min="2" max="2"/>
    <col width="13.6640625" customWidth="1" style="3" min="3" max="3"/>
    <col width="15.88671875" customWidth="1" style="3" min="4" max="4"/>
    <col width="14.109375" customWidth="1" style="3" min="5" max="5"/>
    <col width="15.88671875" customWidth="1" style="3" min="6" max="7"/>
    <col width="20.33203125" customWidth="1" style="3" min="8" max="8"/>
  </cols>
  <sheetData>
    <row r="1" ht="30" customHeight="1">
      <c r="A1" s="2" t="inlineStr">
        <is>
          <t>Logo</t>
        </is>
      </c>
      <c r="B1" s="4" t="inlineStr">
        <is>
          <t>Party</t>
        </is>
      </c>
      <c r="C1" s="2" t="inlineStr">
        <is>
          <t>Votes</t>
        </is>
      </c>
      <c r="D1" s="8" t="inlineStr">
        <is>
          <t>Vote % of 
(Total Votes)</t>
        </is>
      </c>
      <c r="E1" s="8" t="inlineStr">
        <is>
          <t>Is Eligible?</t>
        </is>
      </c>
      <c r="F1" s="8" t="inlineStr">
        <is>
          <t>Eligible Votes</t>
        </is>
      </c>
      <c r="G1" s="13" t="inlineStr">
        <is>
          <t>Vote % of 
(Eligible Votes)</t>
        </is>
      </c>
      <c r="H1" s="13" t="inlineStr">
        <is>
          <t>No. of Seats
(Populate from App)</t>
        </is>
      </c>
    </row>
    <row r="2" ht="30" customHeight="1">
      <c r="A2" s="3">
        <f>PR_votes!A2</f>
        <v/>
      </c>
      <c r="B2" s="5">
        <f>PR_votes!B2</f>
        <v/>
      </c>
      <c r="C2" s="3">
        <f>PR_votes!C2</f>
        <v/>
      </c>
      <c r="D2" s="7">
        <f>C2/$C$59</f>
        <v/>
      </c>
      <c r="E2" s="7">
        <f>IF(D2&gt;0.03,TRUE, FALSE)</f>
        <v/>
      </c>
      <c r="F2" s="9">
        <f>IF(E2=TRUE,C2,0)</f>
        <v/>
      </c>
      <c r="G2" s="7">
        <f>F2/$F$59</f>
        <v/>
      </c>
      <c r="H2" s="9" t="n">
        <v>58</v>
      </c>
    </row>
    <row r="3" ht="30" customHeight="1">
      <c r="A3" s="3">
        <f>PR_votes!A3</f>
        <v/>
      </c>
      <c r="B3" s="5">
        <f>PR_votes!B3</f>
        <v/>
      </c>
      <c r="C3" s="3">
        <f>PR_votes!C3</f>
        <v/>
      </c>
      <c r="D3" s="7">
        <f>C3/$C$59</f>
        <v/>
      </c>
      <c r="E3" s="7">
        <f>IF(D3&gt;0.03,TRUE, FALSE)</f>
        <v/>
      </c>
      <c r="F3" s="9">
        <f>IF(E3=TRUE,C3,0)</f>
        <v/>
      </c>
      <c r="G3" s="7">
        <f>F3/$F$59</f>
        <v/>
      </c>
      <c r="H3" s="9" t="n">
        <v>19</v>
      </c>
    </row>
    <row r="4" ht="30" customHeight="1">
      <c r="A4" s="3">
        <f>PR_votes!A4</f>
        <v/>
      </c>
      <c r="B4" s="5">
        <f>PR_votes!B4</f>
        <v/>
      </c>
      <c r="C4" s="3">
        <f>PR_votes!C4</f>
        <v/>
      </c>
      <c r="D4" s="7">
        <f>C4/$C$59</f>
        <v/>
      </c>
      <c r="E4" s="7">
        <f>IF(D4&gt;0.03,TRUE, FALSE)</f>
        <v/>
      </c>
      <c r="F4" s="9">
        <f>IF(E4=TRUE,C4,0)</f>
        <v/>
      </c>
      <c r="G4" s="7">
        <f>F4/$F$59</f>
        <v/>
      </c>
      <c r="H4" s="9" t="n">
        <v>16</v>
      </c>
    </row>
    <row r="5" ht="30" customHeight="1">
      <c r="A5" s="3">
        <f>PR_votes!A5</f>
        <v/>
      </c>
      <c r="B5" s="5">
        <f>PR_votes!B5</f>
        <v/>
      </c>
      <c r="C5" s="3">
        <f>PR_votes!C5</f>
        <v/>
      </c>
      <c r="D5" s="7">
        <f>C5/$C$59</f>
        <v/>
      </c>
      <c r="E5" s="7">
        <f>IF(D5&gt;0.03,TRUE, FALSE)</f>
        <v/>
      </c>
      <c r="F5" s="9">
        <f>IF(E5=TRUE,C5,0)</f>
        <v/>
      </c>
      <c r="G5" s="7">
        <f>F5/$F$59</f>
        <v/>
      </c>
      <c r="H5" s="9" t="n">
        <v>9</v>
      </c>
    </row>
    <row r="6" ht="30" customHeight="1">
      <c r="A6" s="3">
        <f>PR_votes!A6</f>
        <v/>
      </c>
      <c r="B6" s="5">
        <f>PR_votes!B6</f>
        <v/>
      </c>
      <c r="C6" s="3">
        <f>PR_votes!C6</f>
        <v/>
      </c>
      <c r="D6" s="7">
        <f>C6/$C$59</f>
        <v/>
      </c>
      <c r="E6" s="7">
        <f>IF(D6&gt;0.03,TRUE, FALSE)</f>
        <v/>
      </c>
      <c r="F6" s="9">
        <f>IF(E6=TRUE,C6,0)</f>
        <v/>
      </c>
      <c r="G6" s="7">
        <f>F6/$F$59</f>
        <v/>
      </c>
      <c r="H6" s="9" t="n">
        <v>4</v>
      </c>
    </row>
    <row r="7" ht="30" customHeight="1">
      <c r="A7" s="3">
        <f>PR_votes!A7</f>
        <v/>
      </c>
      <c r="B7" s="5">
        <f>PR_votes!B7</f>
        <v/>
      </c>
      <c r="C7" s="3">
        <f>PR_votes!C7</f>
        <v/>
      </c>
      <c r="D7" s="7">
        <f>C7/$C$59</f>
        <v/>
      </c>
      <c r="E7" s="7">
        <f>IF(D7&gt;0.03,TRUE, FALSE)</f>
        <v/>
      </c>
      <c r="F7" s="9">
        <f>IF(E7=TRUE,C7,0)</f>
        <v/>
      </c>
      <c r="G7" s="7">
        <f>F7/$F$59</f>
        <v/>
      </c>
      <c r="H7" s="9" t="n">
        <v>4</v>
      </c>
    </row>
    <row r="8" ht="30" customHeight="1">
      <c r="A8" s="3">
        <f>PR_votes!A8</f>
        <v/>
      </c>
      <c r="B8" s="5">
        <f>PR_votes!B8</f>
        <v/>
      </c>
      <c r="C8" s="3">
        <f>PR_votes!C8</f>
        <v/>
      </c>
      <c r="D8" s="7">
        <f>C8/$C$59</f>
        <v/>
      </c>
      <c r="E8" s="7">
        <f>IF(D8&gt;0.03,TRUE, FALSE)</f>
        <v/>
      </c>
      <c r="F8" s="9">
        <f>IF(E8=TRUE,C8,0)</f>
        <v/>
      </c>
      <c r="G8" s="7">
        <f>F8/$F$59</f>
        <v/>
      </c>
      <c r="H8" s="9" t="n">
        <v>0</v>
      </c>
    </row>
    <row r="9" ht="30" customHeight="1">
      <c r="A9" s="3">
        <f>PR_votes!A9</f>
        <v/>
      </c>
      <c r="B9" s="5">
        <f>PR_votes!B9</f>
        <v/>
      </c>
      <c r="C9" s="3">
        <f>PR_votes!C9</f>
        <v/>
      </c>
      <c r="D9" s="7">
        <f>C9/$C$59</f>
        <v/>
      </c>
      <c r="E9" s="7">
        <f>IF(D9&gt;0.03,TRUE, FALSE)</f>
        <v/>
      </c>
      <c r="F9" s="9">
        <f>IF(E9=TRUE,C9,0)</f>
        <v/>
      </c>
      <c r="G9" s="7">
        <f>F9/$F$59</f>
        <v/>
      </c>
      <c r="H9" s="9" t="n">
        <v>0</v>
      </c>
    </row>
    <row r="10" ht="30" customHeight="1">
      <c r="A10" s="3">
        <f>PR_votes!A10</f>
        <v/>
      </c>
      <c r="B10" s="5">
        <f>PR_votes!B10</f>
        <v/>
      </c>
      <c r="C10" s="3">
        <f>PR_votes!C10</f>
        <v/>
      </c>
      <c r="D10" s="7">
        <f>C10/$C$59</f>
        <v/>
      </c>
      <c r="E10" s="7">
        <f>IF(D10&gt;0.03,TRUE, FALSE)</f>
        <v/>
      </c>
      <c r="F10" s="9">
        <f>IF(E10=TRUE,C10,0)</f>
        <v/>
      </c>
      <c r="G10" s="7">
        <f>F10/$F$59</f>
        <v/>
      </c>
      <c r="H10" s="9" t="n">
        <v>0</v>
      </c>
    </row>
    <row r="11" ht="30" customHeight="1">
      <c r="A11" s="3">
        <f>PR_votes!A11</f>
        <v/>
      </c>
      <c r="B11" s="5">
        <f>PR_votes!B11</f>
        <v/>
      </c>
      <c r="C11" s="3">
        <f>PR_votes!C11</f>
        <v/>
      </c>
      <c r="D11" s="7">
        <f>C11/$C$59</f>
        <v/>
      </c>
      <c r="E11" s="7">
        <f>IF(D11&gt;0.03,TRUE, FALSE)</f>
        <v/>
      </c>
      <c r="F11" s="9">
        <f>IF(E11=TRUE,C11,0)</f>
        <v/>
      </c>
      <c r="G11" s="7">
        <f>F11/$F$59</f>
        <v/>
      </c>
      <c r="H11" s="9" t="n">
        <v>0</v>
      </c>
    </row>
    <row r="12" ht="30" customHeight="1">
      <c r="A12" s="3">
        <f>PR_votes!A12</f>
        <v/>
      </c>
      <c r="B12" s="5">
        <f>PR_votes!B12</f>
        <v/>
      </c>
      <c r="C12" s="3">
        <f>PR_votes!C12</f>
        <v/>
      </c>
      <c r="D12" s="7">
        <f>C12/$C$59</f>
        <v/>
      </c>
      <c r="E12" s="7">
        <f>IF(D12&gt;0.03,TRUE, FALSE)</f>
        <v/>
      </c>
      <c r="F12" s="9">
        <f>IF(E12=TRUE,C12,0)</f>
        <v/>
      </c>
      <c r="G12" s="7">
        <f>F12/$F$59</f>
        <v/>
      </c>
      <c r="H12" s="9" t="n">
        <v>0</v>
      </c>
    </row>
    <row r="13" ht="30" customHeight="1">
      <c r="A13" s="3">
        <f>PR_votes!A13</f>
        <v/>
      </c>
      <c r="B13" s="5">
        <f>PR_votes!B13</f>
        <v/>
      </c>
      <c r="C13" s="3">
        <f>PR_votes!C13</f>
        <v/>
      </c>
      <c r="D13" s="7">
        <f>C13/$C$59</f>
        <v/>
      </c>
      <c r="E13" s="7">
        <f>IF(D13&gt;0.03,TRUE, FALSE)</f>
        <v/>
      </c>
      <c r="F13" s="9">
        <f>IF(E13=TRUE,C13,0)</f>
        <v/>
      </c>
      <c r="G13" s="7">
        <f>F13/$F$59</f>
        <v/>
      </c>
      <c r="H13" s="9" t="n">
        <v>0</v>
      </c>
    </row>
    <row r="14" ht="30" customHeight="1">
      <c r="A14" s="3">
        <f>PR_votes!A14</f>
        <v/>
      </c>
      <c r="B14" s="5">
        <f>PR_votes!B14</f>
        <v/>
      </c>
      <c r="C14" s="3">
        <f>PR_votes!C14</f>
        <v/>
      </c>
      <c r="D14" s="7">
        <f>C14/$C$59</f>
        <v/>
      </c>
      <c r="E14" s="7">
        <f>IF(D14&gt;0.03,TRUE, FALSE)</f>
        <v/>
      </c>
      <c r="F14" s="9">
        <f>IF(E14=TRUE,C14,0)</f>
        <v/>
      </c>
      <c r="G14" s="7">
        <f>F14/$F$59</f>
        <v/>
      </c>
      <c r="H14" s="9" t="n">
        <v>0</v>
      </c>
    </row>
    <row r="15" ht="30" customHeight="1">
      <c r="A15" s="3">
        <f>PR_votes!A15</f>
        <v/>
      </c>
      <c r="B15" s="5">
        <f>PR_votes!B15</f>
        <v/>
      </c>
      <c r="C15" s="3">
        <f>PR_votes!C15</f>
        <v/>
      </c>
      <c r="D15" s="7">
        <f>C15/$C$59</f>
        <v/>
      </c>
      <c r="E15" s="7">
        <f>IF(D15&gt;0.03,TRUE, FALSE)</f>
        <v/>
      </c>
      <c r="F15" s="9">
        <f>IF(E15=TRUE,C15,0)</f>
        <v/>
      </c>
      <c r="G15" s="7">
        <f>F15/$F$59</f>
        <v/>
      </c>
      <c r="H15" s="9" t="n">
        <v>0</v>
      </c>
    </row>
    <row r="16" ht="30" customHeight="1">
      <c r="A16" s="3">
        <f>PR_votes!A16</f>
        <v/>
      </c>
      <c r="B16" s="5">
        <f>PR_votes!B16</f>
        <v/>
      </c>
      <c r="C16" s="3">
        <f>PR_votes!C16</f>
        <v/>
      </c>
      <c r="D16" s="7">
        <f>C16/$C$59</f>
        <v/>
      </c>
      <c r="E16" s="7">
        <f>IF(D16&gt;0.03,TRUE, FALSE)</f>
        <v/>
      </c>
      <c r="F16" s="9">
        <f>IF(E16=TRUE,C16,0)</f>
        <v/>
      </c>
      <c r="G16" s="7">
        <f>F16/$F$59</f>
        <v/>
      </c>
      <c r="H16" s="9" t="n">
        <v>0</v>
      </c>
    </row>
    <row r="17" ht="30" customHeight="1">
      <c r="A17" s="3">
        <f>PR_votes!A17</f>
        <v/>
      </c>
      <c r="B17" s="5">
        <f>PR_votes!B17</f>
        <v/>
      </c>
      <c r="C17" s="3">
        <f>PR_votes!C17</f>
        <v/>
      </c>
      <c r="D17" s="7">
        <f>C17/$C$59</f>
        <v/>
      </c>
      <c r="E17" s="7">
        <f>IF(D17&gt;0.03,TRUE, FALSE)</f>
        <v/>
      </c>
      <c r="F17" s="9">
        <f>IF(E17=TRUE,C17,0)</f>
        <v/>
      </c>
      <c r="G17" s="7">
        <f>F17/$F$59</f>
        <v/>
      </c>
      <c r="H17" s="9" t="n">
        <v>0</v>
      </c>
    </row>
    <row r="18" ht="30" customHeight="1">
      <c r="A18" s="3">
        <f>PR_votes!A18</f>
        <v/>
      </c>
      <c r="B18" s="5">
        <f>PR_votes!B18</f>
        <v/>
      </c>
      <c r="C18" s="3">
        <f>PR_votes!C18</f>
        <v/>
      </c>
      <c r="D18" s="7">
        <f>C18/$C$59</f>
        <v/>
      </c>
      <c r="E18" s="7">
        <f>IF(D18&gt;0.03,TRUE, FALSE)</f>
        <v/>
      </c>
      <c r="F18" s="9">
        <f>IF(E18=TRUE,C18,0)</f>
        <v/>
      </c>
      <c r="G18" s="7">
        <f>F18/$F$59</f>
        <v/>
      </c>
      <c r="H18" s="9" t="n">
        <v>0</v>
      </c>
    </row>
    <row r="19" ht="30" customHeight="1">
      <c r="A19" s="3">
        <f>PR_votes!A19</f>
        <v/>
      </c>
      <c r="B19" s="5">
        <f>PR_votes!B19</f>
        <v/>
      </c>
      <c r="C19" s="3">
        <f>PR_votes!C19</f>
        <v/>
      </c>
      <c r="D19" s="7">
        <f>C19/$C$59</f>
        <v/>
      </c>
      <c r="E19" s="7">
        <f>IF(D19&gt;0.03,TRUE, FALSE)</f>
        <v/>
      </c>
      <c r="F19" s="9">
        <f>IF(E19=TRUE,C19,0)</f>
        <v/>
      </c>
      <c r="G19" s="7">
        <f>F19/$F$59</f>
        <v/>
      </c>
      <c r="H19" s="9" t="n">
        <v>0</v>
      </c>
    </row>
    <row r="20" ht="30" customHeight="1">
      <c r="A20" s="3">
        <f>PR_votes!A20</f>
        <v/>
      </c>
      <c r="B20" s="5">
        <f>PR_votes!B20</f>
        <v/>
      </c>
      <c r="C20" s="3">
        <f>PR_votes!C20</f>
        <v/>
      </c>
      <c r="D20" s="7">
        <f>C20/$C$59</f>
        <v/>
      </c>
      <c r="E20" s="7">
        <f>IF(D20&gt;0.03,TRUE, FALSE)</f>
        <v/>
      </c>
      <c r="F20" s="9">
        <f>IF(E20=TRUE,C20,0)</f>
        <v/>
      </c>
      <c r="G20" s="7">
        <f>F20/$F$59</f>
        <v/>
      </c>
      <c r="H20" s="9" t="n">
        <v>0</v>
      </c>
    </row>
    <row r="21" ht="30" customHeight="1">
      <c r="A21" s="3">
        <f>PR_votes!A21</f>
        <v/>
      </c>
      <c r="B21" s="5">
        <f>PR_votes!B21</f>
        <v/>
      </c>
      <c r="C21" s="3">
        <f>PR_votes!C21</f>
        <v/>
      </c>
      <c r="D21" s="7">
        <f>C21/$C$59</f>
        <v/>
      </c>
      <c r="E21" s="7">
        <f>IF(D21&gt;0.03,TRUE, FALSE)</f>
        <v/>
      </c>
      <c r="F21" s="9">
        <f>IF(E21=TRUE,C21,0)</f>
        <v/>
      </c>
      <c r="G21" s="7">
        <f>F21/$F$59</f>
        <v/>
      </c>
      <c r="H21" s="9" t="n">
        <v>0</v>
      </c>
    </row>
    <row r="22" ht="30" customHeight="1">
      <c r="A22" s="3">
        <f>PR_votes!A22</f>
        <v/>
      </c>
      <c r="B22" s="5">
        <f>PR_votes!B22</f>
        <v/>
      </c>
      <c r="C22" s="3">
        <f>PR_votes!C22</f>
        <v/>
      </c>
      <c r="D22" s="7">
        <f>C22/$C$59</f>
        <v/>
      </c>
      <c r="E22" s="7">
        <f>IF(D22&gt;0.03,TRUE, FALSE)</f>
        <v/>
      </c>
      <c r="F22" s="9">
        <f>IF(E22=TRUE,C22,0)</f>
        <v/>
      </c>
      <c r="G22" s="7">
        <f>F22/$F$59</f>
        <v/>
      </c>
      <c r="H22" s="9" t="n">
        <v>0</v>
      </c>
    </row>
    <row r="23" ht="30" customHeight="1">
      <c r="A23" s="3">
        <f>PR_votes!A23</f>
        <v/>
      </c>
      <c r="B23" s="5">
        <f>PR_votes!B23</f>
        <v/>
      </c>
      <c r="C23" s="3">
        <f>PR_votes!C23</f>
        <v/>
      </c>
      <c r="D23" s="7">
        <f>C23/$C$59</f>
        <v/>
      </c>
      <c r="E23" s="7">
        <f>IF(D23&gt;0.03,TRUE, FALSE)</f>
        <v/>
      </c>
      <c r="F23" s="9">
        <f>IF(E23=TRUE,C23,0)</f>
        <v/>
      </c>
      <c r="G23" s="7">
        <f>F23/$F$59</f>
        <v/>
      </c>
      <c r="H23" s="9" t="n">
        <v>0</v>
      </c>
    </row>
    <row r="24" ht="30" customHeight="1">
      <c r="A24" s="3">
        <f>PR_votes!A24</f>
        <v/>
      </c>
      <c r="B24" s="5">
        <f>PR_votes!B24</f>
        <v/>
      </c>
      <c r="C24" s="3">
        <f>PR_votes!C24</f>
        <v/>
      </c>
      <c r="D24" s="7">
        <f>C24/$C$59</f>
        <v/>
      </c>
      <c r="E24" s="7">
        <f>IF(D24&gt;0.03,TRUE, FALSE)</f>
        <v/>
      </c>
      <c r="F24" s="9">
        <f>IF(E24=TRUE,C24,0)</f>
        <v/>
      </c>
      <c r="G24" s="7">
        <f>F24/$F$59</f>
        <v/>
      </c>
      <c r="H24" s="9" t="n">
        <v>0</v>
      </c>
    </row>
    <row r="25" ht="30" customHeight="1">
      <c r="A25" s="3">
        <f>PR_votes!A25</f>
        <v/>
      </c>
      <c r="B25" s="5">
        <f>PR_votes!B25</f>
        <v/>
      </c>
      <c r="C25" s="3">
        <f>PR_votes!C25</f>
        <v/>
      </c>
      <c r="D25" s="7">
        <f>C25/$C$59</f>
        <v/>
      </c>
      <c r="E25" s="7">
        <f>IF(D25&gt;0.03,TRUE, FALSE)</f>
        <v/>
      </c>
      <c r="F25" s="9">
        <f>IF(E25=TRUE,C25,0)</f>
        <v/>
      </c>
      <c r="G25" s="7">
        <f>F25/$F$59</f>
        <v/>
      </c>
      <c r="H25" s="9" t="n">
        <v>0</v>
      </c>
    </row>
    <row r="26" ht="30" customHeight="1">
      <c r="A26" s="3">
        <f>PR_votes!A26</f>
        <v/>
      </c>
      <c r="B26" s="5">
        <f>PR_votes!B26</f>
        <v/>
      </c>
      <c r="C26" s="3">
        <f>PR_votes!C26</f>
        <v/>
      </c>
      <c r="D26" s="7">
        <f>C26/$C$59</f>
        <v/>
      </c>
      <c r="E26" s="7">
        <f>IF(D26&gt;0.03,TRUE, FALSE)</f>
        <v/>
      </c>
      <c r="F26" s="9">
        <f>IF(E26=TRUE,C26,0)</f>
        <v/>
      </c>
      <c r="G26" s="7">
        <f>F26/$F$59</f>
        <v/>
      </c>
      <c r="H26" s="9" t="n">
        <v>0</v>
      </c>
    </row>
    <row r="27" ht="30" customHeight="1">
      <c r="A27" s="3">
        <f>PR_votes!A27</f>
        <v/>
      </c>
      <c r="B27" s="5">
        <f>PR_votes!B27</f>
        <v/>
      </c>
      <c r="C27" s="3">
        <f>PR_votes!C27</f>
        <v/>
      </c>
      <c r="D27" s="7">
        <f>C27/$C$59</f>
        <v/>
      </c>
      <c r="E27" s="7">
        <f>IF(D27&gt;0.03,TRUE, FALSE)</f>
        <v/>
      </c>
      <c r="F27" s="9">
        <f>IF(E27=TRUE,C27,0)</f>
        <v/>
      </c>
      <c r="G27" s="7">
        <f>F27/$F$59</f>
        <v/>
      </c>
      <c r="H27" s="9" t="n">
        <v>0</v>
      </c>
    </row>
    <row r="28" ht="30" customHeight="1">
      <c r="A28" s="3">
        <f>PR_votes!A28</f>
        <v/>
      </c>
      <c r="B28" s="5">
        <f>PR_votes!B28</f>
        <v/>
      </c>
      <c r="C28" s="3">
        <f>PR_votes!C28</f>
        <v/>
      </c>
      <c r="D28" s="7">
        <f>C28/$C$59</f>
        <v/>
      </c>
      <c r="E28" s="7">
        <f>IF(D28&gt;0.03,TRUE, FALSE)</f>
        <v/>
      </c>
      <c r="F28" s="9">
        <f>IF(E28=TRUE,C28,0)</f>
        <v/>
      </c>
      <c r="G28" s="7">
        <f>F28/$F$59</f>
        <v/>
      </c>
      <c r="H28" s="9" t="n">
        <v>0</v>
      </c>
    </row>
    <row r="29" ht="30" customHeight="1">
      <c r="A29" s="3">
        <f>PR_votes!A29</f>
        <v/>
      </c>
      <c r="B29" s="5">
        <f>PR_votes!B29</f>
        <v/>
      </c>
      <c r="C29" s="3">
        <f>PR_votes!C29</f>
        <v/>
      </c>
      <c r="D29" s="7">
        <f>C29/$C$59</f>
        <v/>
      </c>
      <c r="E29" s="7">
        <f>IF(D29&gt;0.03,TRUE, FALSE)</f>
        <v/>
      </c>
      <c r="F29" s="9">
        <f>IF(E29=TRUE,C29,0)</f>
        <v/>
      </c>
      <c r="G29" s="7">
        <f>F29/$F$59</f>
        <v/>
      </c>
      <c r="H29" s="9" t="n">
        <v>0</v>
      </c>
    </row>
    <row r="30" ht="30" customHeight="1">
      <c r="A30" s="3">
        <f>PR_votes!A30</f>
        <v/>
      </c>
      <c r="B30" s="5">
        <f>PR_votes!B30</f>
        <v/>
      </c>
      <c r="C30" s="3">
        <f>PR_votes!C30</f>
        <v/>
      </c>
      <c r="D30" s="7">
        <f>C30/$C$59</f>
        <v/>
      </c>
      <c r="E30" s="7">
        <f>IF(D30&gt;0.03,TRUE, FALSE)</f>
        <v/>
      </c>
      <c r="F30" s="9">
        <f>IF(E30=TRUE,C30,0)</f>
        <v/>
      </c>
      <c r="G30" s="7">
        <f>F30/$F$59</f>
        <v/>
      </c>
      <c r="H30" s="9" t="n">
        <v>0</v>
      </c>
    </row>
    <row r="31" ht="30" customHeight="1">
      <c r="A31" s="3">
        <f>PR_votes!A31</f>
        <v/>
      </c>
      <c r="B31" s="5">
        <f>PR_votes!B31</f>
        <v/>
      </c>
      <c r="C31" s="3">
        <f>PR_votes!C31</f>
        <v/>
      </c>
      <c r="D31" s="7">
        <f>C31/$C$59</f>
        <v/>
      </c>
      <c r="E31" s="7">
        <f>IF(D31&gt;0.03,TRUE, FALSE)</f>
        <v/>
      </c>
      <c r="F31" s="9">
        <f>IF(E31=TRUE,C31,0)</f>
        <v/>
      </c>
      <c r="G31" s="7">
        <f>F31/$F$59</f>
        <v/>
      </c>
      <c r="H31" s="9" t="n">
        <v>0</v>
      </c>
    </row>
    <row r="32" ht="30" customHeight="1">
      <c r="A32" s="3">
        <f>PR_votes!A32</f>
        <v/>
      </c>
      <c r="B32" s="5">
        <f>PR_votes!B32</f>
        <v/>
      </c>
      <c r="C32" s="3">
        <f>PR_votes!C32</f>
        <v/>
      </c>
      <c r="D32" s="7">
        <f>C32/$C$59</f>
        <v/>
      </c>
      <c r="E32" s="7">
        <f>IF(D32&gt;0.03,TRUE, FALSE)</f>
        <v/>
      </c>
      <c r="F32" s="9">
        <f>IF(E32=TRUE,C32,0)</f>
        <v/>
      </c>
      <c r="G32" s="7">
        <f>F32/$F$59</f>
        <v/>
      </c>
      <c r="H32" s="9" t="n">
        <v>0</v>
      </c>
    </row>
    <row r="33" ht="30" customHeight="1">
      <c r="A33" s="3">
        <f>PR_votes!A33</f>
        <v/>
      </c>
      <c r="B33" s="5">
        <f>PR_votes!B33</f>
        <v/>
      </c>
      <c r="C33" s="3">
        <f>PR_votes!C33</f>
        <v/>
      </c>
      <c r="D33" s="7">
        <f>C33/$C$59</f>
        <v/>
      </c>
      <c r="E33" s="7">
        <f>IF(D33&gt;0.03,TRUE, FALSE)</f>
        <v/>
      </c>
      <c r="F33" s="9">
        <f>IF(E33=TRUE,C33,0)</f>
        <v/>
      </c>
      <c r="G33" s="7">
        <f>F33/$F$59</f>
        <v/>
      </c>
      <c r="H33" s="9" t="n">
        <v>0</v>
      </c>
    </row>
    <row r="34" ht="30" customHeight="1">
      <c r="A34" s="3">
        <f>PR_votes!A34</f>
        <v/>
      </c>
      <c r="B34" s="5">
        <f>PR_votes!B34</f>
        <v/>
      </c>
      <c r="C34" s="3">
        <f>PR_votes!C34</f>
        <v/>
      </c>
      <c r="D34" s="7">
        <f>C34/$C$59</f>
        <v/>
      </c>
      <c r="E34" s="7">
        <f>IF(D34&gt;0.03,TRUE, FALSE)</f>
        <v/>
      </c>
      <c r="F34" s="9">
        <f>IF(E34=TRUE,C34,0)</f>
        <v/>
      </c>
      <c r="G34" s="7">
        <f>F34/$F$59</f>
        <v/>
      </c>
      <c r="H34" s="9" t="n">
        <v>0</v>
      </c>
    </row>
    <row r="35" ht="30" customHeight="1">
      <c r="A35" s="3">
        <f>PR_votes!A35</f>
        <v/>
      </c>
      <c r="B35" s="5">
        <f>PR_votes!B35</f>
        <v/>
      </c>
      <c r="C35" s="3">
        <f>PR_votes!C35</f>
        <v/>
      </c>
      <c r="D35" s="7">
        <f>C35/$C$59</f>
        <v/>
      </c>
      <c r="E35" s="7">
        <f>IF(D35&gt;0.03,TRUE, FALSE)</f>
        <v/>
      </c>
      <c r="F35" s="9">
        <f>IF(E35=TRUE,C35,0)</f>
        <v/>
      </c>
      <c r="G35" s="7">
        <f>F35/$F$59</f>
        <v/>
      </c>
      <c r="H35" s="9" t="n">
        <v>0</v>
      </c>
    </row>
    <row r="36" ht="30" customHeight="1">
      <c r="A36" s="3">
        <f>PR_votes!A36</f>
        <v/>
      </c>
      <c r="B36" s="5">
        <f>PR_votes!B36</f>
        <v/>
      </c>
      <c r="C36" s="3">
        <f>PR_votes!C36</f>
        <v/>
      </c>
      <c r="D36" s="7">
        <f>C36/$C$59</f>
        <v/>
      </c>
      <c r="E36" s="7">
        <f>IF(D36&gt;0.03,TRUE, FALSE)</f>
        <v/>
      </c>
      <c r="F36" s="9">
        <f>IF(E36=TRUE,C36,0)</f>
        <v/>
      </c>
      <c r="G36" s="7">
        <f>F36/$F$59</f>
        <v/>
      </c>
      <c r="H36" s="9" t="n">
        <v>0</v>
      </c>
    </row>
    <row r="37" ht="30" customHeight="1">
      <c r="A37" s="3">
        <f>PR_votes!A37</f>
        <v/>
      </c>
      <c r="B37" s="5">
        <f>PR_votes!B37</f>
        <v/>
      </c>
      <c r="C37" s="3">
        <f>PR_votes!C37</f>
        <v/>
      </c>
      <c r="D37" s="7">
        <f>C37/$C$59</f>
        <v/>
      </c>
      <c r="E37" s="7">
        <f>IF(D37&gt;0.03,TRUE, FALSE)</f>
        <v/>
      </c>
      <c r="F37" s="9">
        <f>IF(E37=TRUE,C37,0)</f>
        <v/>
      </c>
      <c r="G37" s="7">
        <f>F37/$F$59</f>
        <v/>
      </c>
      <c r="H37" s="9" t="n">
        <v>0</v>
      </c>
    </row>
    <row r="38" ht="30" customHeight="1">
      <c r="A38" s="3">
        <f>PR_votes!A38</f>
        <v/>
      </c>
      <c r="B38" s="5">
        <f>PR_votes!B38</f>
        <v/>
      </c>
      <c r="C38" s="3">
        <f>PR_votes!C38</f>
        <v/>
      </c>
      <c r="D38" s="7">
        <f>C38/$C$59</f>
        <v/>
      </c>
      <c r="E38" s="7">
        <f>IF(D38&gt;0.03,TRUE, FALSE)</f>
        <v/>
      </c>
      <c r="F38" s="9">
        <f>IF(E38=TRUE,C38,0)</f>
        <v/>
      </c>
      <c r="G38" s="7">
        <f>F38/$F$59</f>
        <v/>
      </c>
      <c r="H38" s="9" t="n">
        <v>0</v>
      </c>
    </row>
    <row r="39" ht="30" customHeight="1">
      <c r="A39" s="3">
        <f>PR_votes!A39</f>
        <v/>
      </c>
      <c r="B39" s="5">
        <f>PR_votes!B39</f>
        <v/>
      </c>
      <c r="C39" s="3">
        <f>PR_votes!C39</f>
        <v/>
      </c>
      <c r="D39" s="7">
        <f>C39/$C$59</f>
        <v/>
      </c>
      <c r="E39" s="7">
        <f>IF(D39&gt;0.03,TRUE, FALSE)</f>
        <v/>
      </c>
      <c r="F39" s="9">
        <f>IF(E39=TRUE,C39,0)</f>
        <v/>
      </c>
      <c r="G39" s="7">
        <f>F39/$F$59</f>
        <v/>
      </c>
      <c r="H39" s="9" t="n">
        <v>0</v>
      </c>
    </row>
    <row r="40" ht="30" customHeight="1">
      <c r="A40" s="3">
        <f>PR_votes!A40</f>
        <v/>
      </c>
      <c r="B40" s="5">
        <f>PR_votes!B40</f>
        <v/>
      </c>
      <c r="C40" s="3">
        <f>PR_votes!C40</f>
        <v/>
      </c>
      <c r="D40" s="7">
        <f>C40/$C$59</f>
        <v/>
      </c>
      <c r="E40" s="7">
        <f>IF(D40&gt;0.03,TRUE, FALSE)</f>
        <v/>
      </c>
      <c r="F40" s="9">
        <f>IF(E40=TRUE,C40,0)</f>
        <v/>
      </c>
      <c r="G40" s="7">
        <f>F40/$F$59</f>
        <v/>
      </c>
      <c r="H40" s="9" t="n">
        <v>0</v>
      </c>
    </row>
    <row r="41" ht="30" customHeight="1">
      <c r="A41" s="3">
        <f>PR_votes!A41</f>
        <v/>
      </c>
      <c r="B41" s="5">
        <f>PR_votes!B41</f>
        <v/>
      </c>
      <c r="C41" s="3">
        <f>PR_votes!C41</f>
        <v/>
      </c>
      <c r="D41" s="7">
        <f>C41/$C$59</f>
        <v/>
      </c>
      <c r="E41" s="7">
        <f>IF(D41&gt;0.03,TRUE, FALSE)</f>
        <v/>
      </c>
      <c r="F41" s="9">
        <f>IF(E41=TRUE,C41,0)</f>
        <v/>
      </c>
      <c r="G41" s="7">
        <f>F41/$F$59</f>
        <v/>
      </c>
      <c r="H41" s="9" t="n">
        <v>0</v>
      </c>
    </row>
    <row r="42" ht="30" customHeight="1">
      <c r="A42" s="3">
        <f>PR_votes!A42</f>
        <v/>
      </c>
      <c r="B42" s="5">
        <f>PR_votes!B42</f>
        <v/>
      </c>
      <c r="C42" s="3">
        <f>PR_votes!C42</f>
        <v/>
      </c>
      <c r="D42" s="7">
        <f>C42/$C$59</f>
        <v/>
      </c>
      <c r="E42" s="7">
        <f>IF(D42&gt;0.03,TRUE, FALSE)</f>
        <v/>
      </c>
      <c r="F42" s="9">
        <f>IF(E42=TRUE,C42,0)</f>
        <v/>
      </c>
      <c r="G42" s="7">
        <f>F42/$F$59</f>
        <v/>
      </c>
      <c r="H42" s="9" t="n">
        <v>0</v>
      </c>
    </row>
    <row r="43" ht="30" customHeight="1">
      <c r="A43" s="3">
        <f>PR_votes!A43</f>
        <v/>
      </c>
      <c r="B43" s="5">
        <f>PR_votes!B43</f>
        <v/>
      </c>
      <c r="C43" s="3">
        <f>PR_votes!C43</f>
        <v/>
      </c>
      <c r="D43" s="7">
        <f>C43/$C$59</f>
        <v/>
      </c>
      <c r="E43" s="7">
        <f>IF(D43&gt;0.03,TRUE, FALSE)</f>
        <v/>
      </c>
      <c r="F43" s="9">
        <f>IF(E43=TRUE,C43,0)</f>
        <v/>
      </c>
      <c r="G43" s="7">
        <f>F43/$F$59</f>
        <v/>
      </c>
      <c r="H43" s="9" t="n">
        <v>0</v>
      </c>
    </row>
    <row r="44" ht="30" customHeight="1">
      <c r="A44" s="3">
        <f>PR_votes!A44</f>
        <v/>
      </c>
      <c r="B44" s="5">
        <f>PR_votes!B44</f>
        <v/>
      </c>
      <c r="C44" s="3">
        <f>PR_votes!C44</f>
        <v/>
      </c>
      <c r="D44" s="7">
        <f>C44/$C$59</f>
        <v/>
      </c>
      <c r="E44" s="7">
        <f>IF(D44&gt;0.03,TRUE, FALSE)</f>
        <v/>
      </c>
      <c r="F44" s="9">
        <f>IF(E44=TRUE,C44,0)</f>
        <v/>
      </c>
      <c r="G44" s="7">
        <f>F44/$F$59</f>
        <v/>
      </c>
      <c r="H44" s="9" t="n">
        <v>0</v>
      </c>
    </row>
    <row r="45" ht="30" customHeight="1">
      <c r="A45" s="3">
        <f>PR_votes!A45</f>
        <v/>
      </c>
      <c r="B45" s="5">
        <f>PR_votes!B45</f>
        <v/>
      </c>
      <c r="C45" s="3">
        <f>PR_votes!C45</f>
        <v/>
      </c>
      <c r="D45" s="7">
        <f>C45/$C$59</f>
        <v/>
      </c>
      <c r="E45" s="7">
        <f>IF(D45&gt;0.03,TRUE, FALSE)</f>
        <v/>
      </c>
      <c r="F45" s="9">
        <f>IF(E45=TRUE,C45,0)</f>
        <v/>
      </c>
      <c r="G45" s="7">
        <f>F45/$F$59</f>
        <v/>
      </c>
      <c r="H45" s="9" t="n">
        <v>0</v>
      </c>
    </row>
    <row r="46" ht="30" customHeight="1">
      <c r="A46" s="3">
        <f>PR_votes!A46</f>
        <v/>
      </c>
      <c r="B46" s="5">
        <f>PR_votes!B46</f>
        <v/>
      </c>
      <c r="C46" s="3">
        <f>PR_votes!C46</f>
        <v/>
      </c>
      <c r="D46" s="7">
        <f>C46/$C$59</f>
        <v/>
      </c>
      <c r="E46" s="7">
        <f>IF(D46&gt;0.03,TRUE, FALSE)</f>
        <v/>
      </c>
      <c r="F46" s="9">
        <f>IF(E46=TRUE,C46,0)</f>
        <v/>
      </c>
      <c r="G46" s="7">
        <f>F46/$F$59</f>
        <v/>
      </c>
      <c r="H46" s="9" t="n">
        <v>0</v>
      </c>
    </row>
    <row r="47" ht="30" customHeight="1">
      <c r="A47" s="3">
        <f>PR_votes!A47</f>
        <v/>
      </c>
      <c r="B47" s="5">
        <f>PR_votes!B47</f>
        <v/>
      </c>
      <c r="C47" s="3">
        <f>PR_votes!C47</f>
        <v/>
      </c>
      <c r="D47" s="7">
        <f>C47/$C$59</f>
        <v/>
      </c>
      <c r="E47" s="7">
        <f>IF(D47&gt;0.03,TRUE, FALSE)</f>
        <v/>
      </c>
      <c r="F47" s="9">
        <f>IF(E47=TRUE,C47,0)</f>
        <v/>
      </c>
      <c r="G47" s="7">
        <f>F47/$F$59</f>
        <v/>
      </c>
      <c r="H47" s="9" t="n">
        <v>0</v>
      </c>
    </row>
    <row r="48" ht="30" customHeight="1">
      <c r="A48" s="3">
        <f>PR_votes!A48</f>
        <v/>
      </c>
      <c r="B48" s="5">
        <f>PR_votes!B48</f>
        <v/>
      </c>
      <c r="C48" s="3">
        <f>PR_votes!C48</f>
        <v/>
      </c>
      <c r="D48" s="7">
        <f>C48/$C$59</f>
        <v/>
      </c>
      <c r="E48" s="7">
        <f>IF(D48&gt;0.03,TRUE, FALSE)</f>
        <v/>
      </c>
      <c r="F48" s="9">
        <f>IF(E48=TRUE,C48,0)</f>
        <v/>
      </c>
      <c r="G48" s="7">
        <f>F48/$F$59</f>
        <v/>
      </c>
      <c r="H48" s="9" t="n">
        <v>0</v>
      </c>
    </row>
    <row r="49" ht="30" customHeight="1">
      <c r="A49" s="3">
        <f>PR_votes!A49</f>
        <v/>
      </c>
      <c r="B49" s="5">
        <f>PR_votes!B49</f>
        <v/>
      </c>
      <c r="C49" s="3">
        <f>PR_votes!C49</f>
        <v/>
      </c>
      <c r="D49" s="7">
        <f>C49/$C$59</f>
        <v/>
      </c>
      <c r="E49" s="7">
        <f>IF(D49&gt;0.03,TRUE, FALSE)</f>
        <v/>
      </c>
      <c r="F49" s="9">
        <f>IF(E49=TRUE,C49,0)</f>
        <v/>
      </c>
      <c r="G49" s="7">
        <f>F49/$F$59</f>
        <v/>
      </c>
      <c r="H49" s="9" t="n">
        <v>0</v>
      </c>
    </row>
    <row r="50" ht="30" customHeight="1">
      <c r="A50" s="3">
        <f>PR_votes!A50</f>
        <v/>
      </c>
      <c r="B50" s="5">
        <f>PR_votes!B50</f>
        <v/>
      </c>
      <c r="C50" s="3">
        <f>PR_votes!C50</f>
        <v/>
      </c>
      <c r="D50" s="7">
        <f>C50/$C$59</f>
        <v/>
      </c>
      <c r="E50" s="7">
        <f>IF(D50&gt;0.03,TRUE, FALSE)</f>
        <v/>
      </c>
      <c r="F50" s="9">
        <f>IF(E50=TRUE,C50,0)</f>
        <v/>
      </c>
      <c r="G50" s="7">
        <f>F50/$F$59</f>
        <v/>
      </c>
      <c r="H50" s="9" t="n">
        <v>0</v>
      </c>
    </row>
    <row r="51" ht="30" customHeight="1">
      <c r="A51" s="3">
        <f>PR_votes!A51</f>
        <v/>
      </c>
      <c r="B51" s="5">
        <f>PR_votes!B51</f>
        <v/>
      </c>
      <c r="C51" s="3">
        <f>PR_votes!C51</f>
        <v/>
      </c>
      <c r="D51" s="7">
        <f>C51/$C$59</f>
        <v/>
      </c>
      <c r="E51" s="7">
        <f>IF(D51&gt;0.03,TRUE, FALSE)</f>
        <v/>
      </c>
      <c r="F51" s="9">
        <f>IF(E51=TRUE,C51,0)</f>
        <v/>
      </c>
      <c r="G51" s="7">
        <f>F51/$F$59</f>
        <v/>
      </c>
      <c r="H51" s="9" t="n">
        <v>0</v>
      </c>
    </row>
    <row r="52" ht="30" customHeight="1">
      <c r="A52" s="3">
        <f>PR_votes!A52</f>
        <v/>
      </c>
      <c r="B52" s="5">
        <f>PR_votes!B52</f>
        <v/>
      </c>
      <c r="C52" s="3">
        <f>PR_votes!C52</f>
        <v/>
      </c>
      <c r="D52" s="7">
        <f>C52/$C$59</f>
        <v/>
      </c>
      <c r="E52" s="7">
        <f>IF(D52&gt;0.03,TRUE, FALSE)</f>
        <v/>
      </c>
      <c r="F52" s="9">
        <f>IF(E52=TRUE,C52,0)</f>
        <v/>
      </c>
      <c r="G52" s="7">
        <f>F52/$F$59</f>
        <v/>
      </c>
      <c r="H52" s="9" t="n">
        <v>0</v>
      </c>
    </row>
    <row r="53" ht="30" customHeight="1">
      <c r="A53" s="3">
        <f>PR_votes!A53</f>
        <v/>
      </c>
      <c r="B53" s="5">
        <f>PR_votes!B53</f>
        <v/>
      </c>
      <c r="C53" s="3">
        <f>PR_votes!C53</f>
        <v/>
      </c>
      <c r="D53" s="7">
        <f>C53/$C$59</f>
        <v/>
      </c>
      <c r="E53" s="7">
        <f>IF(D53&gt;0.03,TRUE, FALSE)</f>
        <v/>
      </c>
      <c r="F53" s="9">
        <f>IF(E53=TRUE,C53,0)</f>
        <v/>
      </c>
      <c r="G53" s="7">
        <f>F53/$F$59</f>
        <v/>
      </c>
      <c r="H53" s="9" t="n">
        <v>0</v>
      </c>
    </row>
    <row r="54" ht="30" customHeight="1">
      <c r="A54" s="3">
        <f>PR_votes!A54</f>
        <v/>
      </c>
      <c r="B54" s="5">
        <f>PR_votes!B54</f>
        <v/>
      </c>
      <c r="C54" s="3">
        <f>PR_votes!C54</f>
        <v/>
      </c>
      <c r="D54" s="7">
        <f>C54/$C$59</f>
        <v/>
      </c>
      <c r="E54" s="7">
        <f>IF(D54&gt;0.03,TRUE, FALSE)</f>
        <v/>
      </c>
      <c r="F54" s="9">
        <f>IF(E54=TRUE,C54,0)</f>
        <v/>
      </c>
      <c r="G54" s="7">
        <f>F54/$F$59</f>
        <v/>
      </c>
      <c r="H54" s="9" t="n">
        <v>0</v>
      </c>
    </row>
    <row r="55" ht="30" customHeight="1">
      <c r="A55" s="3">
        <f>PR_votes!A55</f>
        <v/>
      </c>
      <c r="B55" s="5">
        <f>PR_votes!B55</f>
        <v/>
      </c>
      <c r="C55" s="3">
        <f>PR_votes!C55</f>
        <v/>
      </c>
      <c r="D55" s="7">
        <f>C55/$C$59</f>
        <v/>
      </c>
      <c r="E55" s="7">
        <f>IF(D55&gt;0.03,TRUE, FALSE)</f>
        <v/>
      </c>
      <c r="F55" s="9">
        <f>IF(E55=TRUE,C55,0)</f>
        <v/>
      </c>
      <c r="G55" s="7">
        <f>F55/$F$59</f>
        <v/>
      </c>
      <c r="H55" s="9" t="n">
        <v>0</v>
      </c>
    </row>
    <row r="56" ht="30" customHeight="1">
      <c r="A56" s="3">
        <f>PR_votes!A56</f>
        <v/>
      </c>
      <c r="B56" s="5">
        <f>PR_votes!B56</f>
        <v/>
      </c>
      <c r="C56" s="3">
        <f>PR_votes!C56</f>
        <v/>
      </c>
      <c r="D56" s="7">
        <f>C56/$C$59</f>
        <v/>
      </c>
      <c r="E56" s="7">
        <f>IF(D56&gt;0.03,TRUE, FALSE)</f>
        <v/>
      </c>
      <c r="F56" s="9">
        <f>IF(E56=TRUE,C56,0)</f>
        <v/>
      </c>
      <c r="G56" s="7">
        <f>F56/$F$59</f>
        <v/>
      </c>
      <c r="H56" s="9" t="n">
        <v>0</v>
      </c>
    </row>
    <row r="57" ht="30" customHeight="1">
      <c r="A57" s="3">
        <f>PR_votes!A57</f>
        <v/>
      </c>
      <c r="B57" s="5">
        <f>PR_votes!B57</f>
        <v/>
      </c>
      <c r="C57" s="3">
        <f>PR_votes!C57</f>
        <v/>
      </c>
      <c r="D57" s="7">
        <f>C57/$C$59</f>
        <v/>
      </c>
      <c r="E57" s="7">
        <f>IF(D57&gt;0.03,TRUE, FALSE)</f>
        <v/>
      </c>
      <c r="F57" s="9">
        <f>IF(E57=TRUE,C57,0)</f>
        <v/>
      </c>
      <c r="G57" s="7">
        <f>F57/$F$59</f>
        <v/>
      </c>
      <c r="H57" s="9" t="n">
        <v>0</v>
      </c>
    </row>
    <row r="58" ht="30" customHeight="1">
      <c r="A58" s="3">
        <f>PR_votes!A58</f>
        <v/>
      </c>
      <c r="B58" s="5">
        <f>PR_votes!B58</f>
        <v/>
      </c>
      <c r="C58" s="3">
        <f>PR_votes!C58</f>
        <v/>
      </c>
      <c r="D58" s="7">
        <f>C58/$C$59</f>
        <v/>
      </c>
      <c r="E58" s="7">
        <f>IF(D58&gt;0.03,TRUE, FALSE)</f>
        <v/>
      </c>
      <c r="F58" s="9">
        <f>IF(E58=TRUE,C58,0)</f>
        <v/>
      </c>
      <c r="G58" s="7">
        <f>F58/$F$59</f>
        <v/>
      </c>
      <c r="H58" s="9" t="n">
        <v>0</v>
      </c>
    </row>
    <row r="59" ht="30" customHeight="1">
      <c r="A59" s="10" t="n"/>
      <c r="B59" s="11" t="inlineStr">
        <is>
          <t>Total</t>
        </is>
      </c>
      <c r="C59" s="10">
        <f>SUM(C2:C58)</f>
        <v/>
      </c>
      <c r="D59" s="10" t="n"/>
      <c r="E59" s="10" t="n"/>
      <c r="F59" s="12">
        <f>SUM(F2:F58)</f>
        <v/>
      </c>
      <c r="G59" s="12">
        <f>SUM(G2:G58)</f>
        <v/>
      </c>
      <c r="H59" s="12" t="n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2026-03-09T08:48:33Z</dcterms:created>
  <dcterms:modified xmlns:dcterms="http://purl.org/dc/terms/" xmlns:xsi="http://www.w3.org/2001/XMLSchema-instance" xsi:type="dcterms:W3CDTF">2026-03-09T13:54:38Z</dcterms:modified>
  <cp:lastModifiedBy>Bikalp Ghimire</cp:lastModifiedBy>
</cp:coreProperties>
</file>