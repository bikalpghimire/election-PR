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8.jpg" ContentType="image/png"/>
  <Override PartName="/xl/media/image33.jpg" ContentType="image/png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gramming\election-PR\"/>
    </mc:Choice>
  </mc:AlternateContent>
  <xr:revisionPtr revIDLastSave="0" documentId="8_{961172D4-61EC-44FB-B555-5660C7BCC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C59" i="1"/>
  <c r="D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</futureMetadata>
  <valueMetadata count="5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</valueMetadata>
</metadata>
</file>

<file path=xl/sharedStrings.xml><?xml version="1.0" encoding="utf-8"?>
<sst xmlns="http://schemas.openxmlformats.org/spreadsheetml/2006/main" count="119" uniqueCount="119">
  <si>
    <t>Logo</t>
  </si>
  <si>
    <t>Party</t>
  </si>
  <si>
    <t>Votes</t>
  </si>
  <si>
    <t>Vote %</t>
  </si>
  <si>
    <t>Logo_URL</t>
  </si>
  <si>
    <t>राष्ट्रिय स्वतन्त्र पार्टी</t>
  </si>
  <si>
    <t>https://result.election.gov.np/Images/symbol-hor-pa/2528.jpg</t>
  </si>
  <si>
    <t>नेपाली काँग्रेस</t>
  </si>
  <si>
    <t>https://result.election.gov.np/Images/symbol-hor-pa/2583.jpg</t>
  </si>
  <si>
    <t>नेपाल कम्युनिष्ट पार्टी (एकीकृत मार्क्सवादी लेनिनवादी)</t>
  </si>
  <si>
    <t>https://result.election.gov.np/Images/symbol-hor-pa/2598.jpg</t>
  </si>
  <si>
    <t>नेपाली कम्युनिष्ट पार्टी</t>
  </si>
  <si>
    <t>https://result.election.gov.np/Images/symbol-hor-pa/2557.jpg</t>
  </si>
  <si>
    <t>श्रम संस्कृति पार्टी</t>
  </si>
  <si>
    <t>https://result.election.gov.np/Images/symbol-hor-pa/2501.jpg</t>
  </si>
  <si>
    <t>राष्ट्रिय प्रजातन्त्र पार्टी</t>
  </si>
  <si>
    <t>https://result.election.gov.np/Images/symbol-hor-pa/2604.jpg</t>
  </si>
  <si>
    <t>जनता समाजवादी पार्टी, नेपाल</t>
  </si>
  <si>
    <t>https://result.election.gov.np/Images/symbol-hor-pa/2542.jpg</t>
  </si>
  <si>
    <t>राष्ट्रिय परिवर्तन पार्टी</t>
  </si>
  <si>
    <t>https://result.election.gov.np/Images/symbol-hor-pa/2568.jpg</t>
  </si>
  <si>
    <t>जनमत पार्टी</t>
  </si>
  <si>
    <t>https://result.election.gov.np/Images/symbol-hor-pa/2585.jpg</t>
  </si>
  <si>
    <t>एकल चिन्ह चकिया (जाँतो) (राष्ट्रिय मुक्ति पार्टी नेपाल/जनता समाजवादी पार्टी/नागरिक उन्मुक्ति पार्टी, नेपाल)</t>
  </si>
  <si>
    <t>https://result.election.gov.np/Images/symbol-hor-pa/2531.jpg</t>
  </si>
  <si>
    <t>नेपाल मजदुर किसान पार्टी</t>
  </si>
  <si>
    <t>https://result.election.gov.np/Images/symbol-hor-pa/2578.jpg</t>
  </si>
  <si>
    <t>राष्ट्र निर्माण दल नेपाल</t>
  </si>
  <si>
    <t>https://result.election.gov.np/Images/symbol-hor-pa/2527.jpg</t>
  </si>
  <si>
    <t>राष्ट्रिय जनमोर्चा</t>
  </si>
  <si>
    <t>https://result.election.gov.np/Images/symbol-hor-pa/2522.jpg</t>
  </si>
  <si>
    <t>नेपाल जनता संरक्षण पार्टी</t>
  </si>
  <si>
    <t>https://result.election.gov.np/Images/symbol-hor-pa/2541.jpg</t>
  </si>
  <si>
    <t>प्रगतिशील लोकतान्त्रिक पार्टी</t>
  </si>
  <si>
    <t>https://result.election.gov.np/Images/symbol-hor-pa/2516.jpg</t>
  </si>
  <si>
    <t>एकल चिन्ह  बस (नेपाल संघीय समाजवादी पार्टी/बहुजन एकता पार्टी नेपाल/नेपाल जनजागृति पार्टी)</t>
  </si>
  <si>
    <t>https://result.election.gov.np/Images/symbol-hor-pa/2567.jpg</t>
  </si>
  <si>
    <t>नेपाल कम्युनिस्ट पार्टी (माओवादी)</t>
  </si>
  <si>
    <t>https://result.election.gov.np/Images/symbol-hor-pa/2526.jpg</t>
  </si>
  <si>
    <t>मंगोल नेशनल अर्गनाइजेशन</t>
  </si>
  <si>
    <t>https://result.election.gov.np/Images/symbol-hor-pa/2511.jpg</t>
  </si>
  <si>
    <t>सार्वभौम नागरिक पार्टी</t>
  </si>
  <si>
    <t>https://result.election.gov.np/Images/symbol-hor-pa/2520.jpg</t>
  </si>
  <si>
    <t>एकल चिन्ह मोबाइल (आम जनता पार्टी/जनादेश पार्टी नेपाल)</t>
  </si>
  <si>
    <t>https://result.election.gov.np/Images/symbol-hor-pa/2581.jpg</t>
  </si>
  <si>
    <t>राष्ट्रिय मुक्ति आन्दोलन, नेपाल</t>
  </si>
  <si>
    <t>https://result.election.gov.np/Images/symbol-hor-pa/2591.jpg</t>
  </si>
  <si>
    <t>संयुक्त नागरिक पार्टी</t>
  </si>
  <si>
    <t>https://result.election.gov.np/Images/symbol-hor-pa/2521.jpg</t>
  </si>
  <si>
    <t>नेपाल जनता पार्टी</t>
  </si>
  <si>
    <t>https://result.election.gov.np/Images/symbol-hor-pa/2507.jpg</t>
  </si>
  <si>
    <t>राष्ट्रिय एकता दल</t>
  </si>
  <si>
    <t>https://result.election.gov.np/Images/symbol-hor-pa/2548.jpg</t>
  </si>
  <si>
    <t>राष्ट्रिय जनमुक्ति पार्टी</t>
  </si>
  <si>
    <t>https://result.election.gov.np/Images/symbol-hor-pa/2605.jpg</t>
  </si>
  <si>
    <t>नेपाल कम्युनिष्ट पार्टी (मार्क्सवादी-लेनिनवादी)</t>
  </si>
  <si>
    <t>https://result.election.gov.np/Images/symbol-hor-pa/2602.jpg</t>
  </si>
  <si>
    <t>नेशनल रिपब्लिक नेपाल</t>
  </si>
  <si>
    <t>https://result.election.gov.np/Images/symbol-hor-pa/2504.jpg</t>
  </si>
  <si>
    <t>नेपालका लागि नेपाली पार्टी</t>
  </si>
  <si>
    <t>https://result.election.gov.np/Images/symbol-hor-pa/2524.jpg</t>
  </si>
  <si>
    <t>नेपाल कम्युनिष्ट पार्टी मार्क्सवादी (पुष्पलाल)</t>
  </si>
  <si>
    <t>https://result.election.gov.np/Images/symbol-hor-pa/2523.jpg</t>
  </si>
  <si>
    <t>राष्ट्रिय गौरव पार्टी</t>
  </si>
  <si>
    <t>https://result.election.gov.np/Images/symbol-hor-pa/2558.jpg</t>
  </si>
  <si>
    <t>संघीय लोकतान्त्रिक राष्ट्रिय मञ्च</t>
  </si>
  <si>
    <t>https://result.election.gov.np/Images/symbol-hor-pa/2550.jpg</t>
  </si>
  <si>
    <t>राष्ट्रिय उर्जाशील पार्टी, नेपाल</t>
  </si>
  <si>
    <t>https://result.election.gov.np/Images/symbol-hor-pa/2534.jpg</t>
  </si>
  <si>
    <t>स्वाभिमान पार्टी</t>
  </si>
  <si>
    <t>https://result.election.gov.np/Images/symbol-hor-pa/2569.jpg</t>
  </si>
  <si>
    <t>नेपाल कम्युनिष्ट पार्टी (संयुक्त)</t>
  </si>
  <si>
    <t>https://result.election.gov.np/Images/symbol-hor-pa/2601.jpg</t>
  </si>
  <si>
    <t>समावेशी समाजवादी पार्टी नेपाल</t>
  </si>
  <si>
    <t>https://result.election.gov.np/Images/symbol-hor-pa/2572.jpg</t>
  </si>
  <si>
    <t>गतिशील लोकतान्त्रिक पार्टी</t>
  </si>
  <si>
    <t>https://result.election.gov.np/Images/symbol-hor-pa/2571.jpg</t>
  </si>
  <si>
    <t>नेपाल लोकतान्त्रिक पार्टी</t>
  </si>
  <si>
    <t>https://result.election.gov.np/Images/symbol-hor-pa/2553.jpg</t>
  </si>
  <si>
    <t>नेपाल मातृभूमि पार्टी</t>
  </si>
  <si>
    <t>https://result.election.gov.np/Images/symbol-hor-pa/2565.jpg</t>
  </si>
  <si>
    <t>जय मातृभूमि पार्टी</t>
  </si>
  <si>
    <t>https://result.election.gov.np/Images/symbol-hor-pa/2510.jpg</t>
  </si>
  <si>
    <t>राष्ट्रिय जनता पार्टी नेपाल</t>
  </si>
  <si>
    <t>https://result.election.gov.np/Images/symbol-hor-pa/2551.jpg</t>
  </si>
  <si>
    <t>बहुजन शक्ति पार्टी</t>
  </si>
  <si>
    <t>https://result.election.gov.np/Images/symbol-hor-pa/2536.jpg</t>
  </si>
  <si>
    <t>नेपाल जनमुक्ति पार्टी</t>
  </si>
  <si>
    <t>https://result.election.gov.np/Images/symbol-hor-pa/2529.jpg</t>
  </si>
  <si>
    <t>जन अधिकार पार्टी</t>
  </si>
  <si>
    <t>https://result.election.gov.np/Images/symbol-hor-pa/2540.jpg</t>
  </si>
  <si>
    <t>प्रजातान्त्रिक पार्टी नेपाल</t>
  </si>
  <si>
    <t>https://result.election.gov.np/Images/symbol-hor-pa/2582.jpg</t>
  </si>
  <si>
    <t>नेपाल सद्‍भावना पार्टी</t>
  </si>
  <si>
    <t>https://result.election.gov.np/Images/symbol-hor-pa/2555.jpg</t>
  </si>
  <si>
    <t>पिपुल फर्ष्ट पार्टी</t>
  </si>
  <si>
    <t>https://result.election.gov.np/Images/symbol-hor-pa/2552.jpg</t>
  </si>
  <si>
    <t>नेपाली काँग्रेस (वी.पी.)</t>
  </si>
  <si>
    <t>https://result.election.gov.np/Images/symbol-hor-pa/2509.jpg</t>
  </si>
  <si>
    <t>नागरिक शक्ति, नेपाल</t>
  </si>
  <si>
    <t>https://result.election.gov.np/Images/symbol-hor-pa/2549.jpg</t>
  </si>
  <si>
    <t>नेपाली जनश्रमदान संस्कृति पार्टी</t>
  </si>
  <si>
    <t>https://result.election.gov.np/Images/symbol-hor-pa/2579.jpg</t>
  </si>
  <si>
    <t>नेपाली जनता दल</t>
  </si>
  <si>
    <t>https://result.election.gov.np/Images/symbol-hor-pa/2595.jpg</t>
  </si>
  <si>
    <t>समावेशी समाजवादी पार्टी</t>
  </si>
  <si>
    <t>https://result.election.gov.np/Images/symbol-hor-pa/2590.jpg</t>
  </si>
  <si>
    <t>जनता लोकतान्त्रिक पार्टी, नेपाल</t>
  </si>
  <si>
    <t>https://result.election.gov.np/Images/symbol-hor-pa/2574.jpg</t>
  </si>
  <si>
    <t>एकल चिन्ह जगर भएको सिंह(सचेत नेपाली पार्टी/नागरिक सर्वोच्चता पार्टी नेपाल)</t>
  </si>
  <si>
    <t>https://result.election.gov.np/Images/symbol-hor-pa/2537.jpg</t>
  </si>
  <si>
    <t>जनप्रिय लोकतान्त्रिक पार्टी</t>
  </si>
  <si>
    <t>https://result.election.gov.np/Images/symbol-hor-pa/2564.jpg</t>
  </si>
  <si>
    <t>मितेरी पार्टी नेपाल</t>
  </si>
  <si>
    <t>https://result.election.gov.np/Images/symbol-hor-pa/2530.jpg</t>
  </si>
  <si>
    <t>त्रिमुल नेपाल</t>
  </si>
  <si>
    <t>https://result.election.gov.np/Images/symbol-hor-pa/2505.jpg</t>
  </si>
  <si>
    <t>उन्‍नत लोकतन्त्र पार्टी</t>
  </si>
  <si>
    <t>https://result.election.gov.np/Images/symbol-hor-pa/2515.jpg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</si>
</sst>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g"/><Relationship Id="rId21" Type="http://schemas.openxmlformats.org/officeDocument/2006/relationships/hyperlink" Target="https://result.election.gov.np/Images/symbol-hor-pa/2578.jpg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result.election.gov.np/Images/symbol-hor-pa/2548.jpg" TargetMode="External"/><Relationship Id="rId63" Type="http://schemas.openxmlformats.org/officeDocument/2006/relationships/hyperlink" Target="https://result.election.gov.np/Images/symbol-hor-pa/2534.jpg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89" Type="http://schemas.openxmlformats.org/officeDocument/2006/relationships/hyperlink" Target="https://result.election.gov.np/Images/symbol-hor-pa/2555.jpg" TargetMode="External"/><Relationship Id="rId112" Type="http://schemas.openxmlformats.org/officeDocument/2006/relationships/image" Target="../media/image56.jpg"/><Relationship Id="rId16" Type="http://schemas.openxmlformats.org/officeDocument/2006/relationships/image" Target="../media/image8.jpg"/><Relationship Id="rId107" Type="http://schemas.openxmlformats.org/officeDocument/2006/relationships/hyperlink" Target="https://result.election.gov.np/Images/symbol-hor-pa/2564.jpg" TargetMode="External"/><Relationship Id="rId11" Type="http://schemas.openxmlformats.org/officeDocument/2006/relationships/hyperlink" Target="https://result.election.gov.np/Images/symbol-hor-pa/2604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result.election.gov.np/Images/symbol-hor-pa/2520.jpg" TargetMode="External"/><Relationship Id="rId53" Type="http://schemas.openxmlformats.org/officeDocument/2006/relationships/hyperlink" Target="https://result.election.gov.np/Images/symbol-hor-pa/2504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result.election.gov.np/Images/symbol-hor-pa/2551.jpg" TargetMode="External"/><Relationship Id="rId102" Type="http://schemas.openxmlformats.org/officeDocument/2006/relationships/image" Target="../media/image51.jpg"/><Relationship Id="rId5" Type="http://schemas.openxmlformats.org/officeDocument/2006/relationships/hyperlink" Target="https://result.election.gov.np/Images/symbol-hor-pa/2598.jp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result.election.gov.np/Images/symbol-hor-pa/2549.jpg" TargetMode="External"/><Relationship Id="rId22" Type="http://schemas.openxmlformats.org/officeDocument/2006/relationships/image" Target="../media/image11.jpg"/><Relationship Id="rId27" Type="http://schemas.openxmlformats.org/officeDocument/2006/relationships/hyperlink" Target="https://result.election.gov.np/Images/symbol-hor-pa/2541.jpg" TargetMode="External"/><Relationship Id="rId43" Type="http://schemas.openxmlformats.org/officeDocument/2006/relationships/hyperlink" Target="https://result.election.gov.np/Images/symbol-hor-pa/2521.jpg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result.election.gov.np/Images/symbol-hor-pa/2572.jpg" TargetMode="External"/><Relationship Id="rId113" Type="http://schemas.openxmlformats.org/officeDocument/2006/relationships/hyperlink" Target="https://result.election.gov.np/Images/symbol-hor-pa/2515.jpg" TargetMode="External"/><Relationship Id="rId80" Type="http://schemas.openxmlformats.org/officeDocument/2006/relationships/image" Target="../media/image40.jpg"/><Relationship Id="rId85" Type="http://schemas.openxmlformats.org/officeDocument/2006/relationships/hyperlink" Target="https://result.election.gov.np/Images/symbol-hor-pa/2540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result.election.gov.np/Images/symbol-hor-pa/2585.jpg" TargetMode="External"/><Relationship Id="rId33" Type="http://schemas.openxmlformats.org/officeDocument/2006/relationships/hyperlink" Target="https://result.election.gov.np/Images/symbol-hor-pa/2526.jpg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result.election.gov.np/Images/symbol-hor-pa/2558.jpg" TargetMode="External"/><Relationship Id="rId103" Type="http://schemas.openxmlformats.org/officeDocument/2006/relationships/hyperlink" Target="https://result.election.gov.np/Images/symbol-hor-pa/2574.jpg" TargetMode="External"/><Relationship Id="rId108" Type="http://schemas.openxmlformats.org/officeDocument/2006/relationships/image" Target="../media/image54.jpg"/><Relationship Id="rId54" Type="http://schemas.openxmlformats.org/officeDocument/2006/relationships/image" Target="../media/image27.jpg"/><Relationship Id="rId70" Type="http://schemas.openxmlformats.org/officeDocument/2006/relationships/image" Target="../media/image35.jpg"/><Relationship Id="rId75" Type="http://schemas.openxmlformats.org/officeDocument/2006/relationships/hyperlink" Target="https://result.election.gov.np/Images/symbol-hor-pa/2565.jpg" TargetMode="External"/><Relationship Id="rId91" Type="http://schemas.openxmlformats.org/officeDocument/2006/relationships/hyperlink" Target="https://result.election.gov.np/Images/symbol-hor-pa/2552.jpg" TargetMode="External"/><Relationship Id="rId96" Type="http://schemas.openxmlformats.org/officeDocument/2006/relationships/image" Target="../media/image48.jpg"/><Relationship Id="rId1" Type="http://schemas.openxmlformats.org/officeDocument/2006/relationships/hyperlink" Target="https://result.election.gov.np/Images/symbol-hor-pa/2528.jpg" TargetMode="External"/><Relationship Id="rId6" Type="http://schemas.openxmlformats.org/officeDocument/2006/relationships/image" Target="../media/image3.jpg"/><Relationship Id="rId15" Type="http://schemas.openxmlformats.org/officeDocument/2006/relationships/hyperlink" Target="https://result.election.gov.np/Images/symbol-hor-pa/2568.jpg" TargetMode="External"/><Relationship Id="rId23" Type="http://schemas.openxmlformats.org/officeDocument/2006/relationships/hyperlink" Target="https://result.election.gov.np/Images/symbol-hor-pa/2527.jpg" TargetMode="External"/><Relationship Id="rId28" Type="http://schemas.openxmlformats.org/officeDocument/2006/relationships/image" Target="../media/image14.jpg"/><Relationship Id="rId36" Type="http://schemas.openxmlformats.org/officeDocument/2006/relationships/image" Target="../media/image18.jpg"/><Relationship Id="rId49" Type="http://schemas.openxmlformats.org/officeDocument/2006/relationships/hyperlink" Target="https://result.election.gov.np/Images/symbol-hor-pa/2605.jpg" TargetMode="External"/><Relationship Id="rId57" Type="http://schemas.openxmlformats.org/officeDocument/2006/relationships/hyperlink" Target="https://result.election.gov.np/Images/symbol-hor-pa/2523.jpg" TargetMode="External"/><Relationship Id="rId106" Type="http://schemas.openxmlformats.org/officeDocument/2006/relationships/image" Target="../media/image53.jpg"/><Relationship Id="rId114" Type="http://schemas.openxmlformats.org/officeDocument/2006/relationships/image" Target="../media/image57.jpg"/><Relationship Id="rId10" Type="http://schemas.openxmlformats.org/officeDocument/2006/relationships/image" Target="../media/image5.jpg"/><Relationship Id="rId31" Type="http://schemas.openxmlformats.org/officeDocument/2006/relationships/hyperlink" Target="https://result.election.gov.np/Images/symbol-hor-pa/2567.jp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jpg"/><Relationship Id="rId60" Type="http://schemas.openxmlformats.org/officeDocument/2006/relationships/image" Target="../media/image30.jpg"/><Relationship Id="rId65" Type="http://schemas.openxmlformats.org/officeDocument/2006/relationships/hyperlink" Target="https://result.election.gov.np/Images/symbol-hor-pa/2569.jpg" TargetMode="External"/><Relationship Id="rId73" Type="http://schemas.openxmlformats.org/officeDocument/2006/relationships/hyperlink" Target="https://result.election.gov.np/Images/symbol-hor-pa/2553.jpg" TargetMode="External"/><Relationship Id="rId78" Type="http://schemas.openxmlformats.org/officeDocument/2006/relationships/image" Target="../media/image39.jpg"/><Relationship Id="rId81" Type="http://schemas.openxmlformats.org/officeDocument/2006/relationships/hyperlink" Target="https://result.election.gov.np/Images/symbol-hor-pa/2536.jpg" TargetMode="External"/><Relationship Id="rId86" Type="http://schemas.openxmlformats.org/officeDocument/2006/relationships/image" Target="../media/image43.jpg"/><Relationship Id="rId94" Type="http://schemas.openxmlformats.org/officeDocument/2006/relationships/image" Target="../media/image47.jpg"/><Relationship Id="rId99" Type="http://schemas.openxmlformats.org/officeDocument/2006/relationships/hyperlink" Target="https://result.election.gov.np/Images/symbol-hor-pa/2595.jpg" TargetMode="External"/><Relationship Id="rId101" Type="http://schemas.openxmlformats.org/officeDocument/2006/relationships/hyperlink" Target="https://result.election.gov.np/Images/symbol-hor-pa/2590.jpg" TargetMode="External"/><Relationship Id="rId4" Type="http://schemas.openxmlformats.org/officeDocument/2006/relationships/image" Target="../media/image2.jpg"/><Relationship Id="rId9" Type="http://schemas.openxmlformats.org/officeDocument/2006/relationships/hyperlink" Target="https://result.election.gov.np/Images/symbol-hor-pa/2501.jpg" TargetMode="External"/><Relationship Id="rId13" Type="http://schemas.openxmlformats.org/officeDocument/2006/relationships/hyperlink" Target="https://result.election.gov.np/Images/symbol-hor-pa/2542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result.election.gov.np/Images/symbol-hor-pa/2581.jpg" TargetMode="External"/><Relationship Id="rId109" Type="http://schemas.openxmlformats.org/officeDocument/2006/relationships/hyperlink" Target="https://result.election.gov.np/Images/symbol-hor-pa/2530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result.election.gov.np/Images/symbol-hor-pa/2524.jpg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result.election.gov.np/Images/symbol-hor-pa/2579.jpg" TargetMode="External"/><Relationship Id="rId104" Type="http://schemas.openxmlformats.org/officeDocument/2006/relationships/image" Target="../media/image52.jpg"/><Relationship Id="rId7" Type="http://schemas.openxmlformats.org/officeDocument/2006/relationships/hyperlink" Target="https://result.election.gov.np/Images/symbol-hor-pa/2557.jpg" TargetMode="External"/><Relationship Id="rId71" Type="http://schemas.openxmlformats.org/officeDocument/2006/relationships/hyperlink" Target="https://result.election.gov.np/Images/symbol-hor-pa/2571.jpg" TargetMode="External"/><Relationship Id="rId92" Type="http://schemas.openxmlformats.org/officeDocument/2006/relationships/image" Target="../media/image46.jpg"/><Relationship Id="rId2" Type="http://schemas.openxmlformats.org/officeDocument/2006/relationships/image" Target="../media/image1.jpg"/><Relationship Id="rId29" Type="http://schemas.openxmlformats.org/officeDocument/2006/relationships/hyperlink" Target="https://result.election.gov.np/Images/symbol-hor-pa/2516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result.election.gov.np/Images/symbol-hor-pa/2507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result.election.gov.np/Images/symbol-hor-pa/2582.jpg" TargetMode="External"/><Relationship Id="rId110" Type="http://schemas.openxmlformats.org/officeDocument/2006/relationships/image" Target="../media/image55.jpg"/><Relationship Id="rId61" Type="http://schemas.openxmlformats.org/officeDocument/2006/relationships/hyperlink" Target="https://result.election.gov.np/Images/symbol-hor-pa/2550.jpg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result.election.gov.np/Images/symbol-hor-pa/2531.jpg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result.election.gov.np/Images/symbol-hor-pa/2511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result.election.gov.np/Images/symbol-hor-pa/2510.jpg" TargetMode="External"/><Relationship Id="rId100" Type="http://schemas.openxmlformats.org/officeDocument/2006/relationships/image" Target="../media/image50.jpg"/><Relationship Id="rId105" Type="http://schemas.openxmlformats.org/officeDocument/2006/relationships/hyperlink" Target="https://result.election.gov.np/Images/symbol-hor-pa/2537.jpg" TargetMode="External"/><Relationship Id="rId8" Type="http://schemas.openxmlformats.org/officeDocument/2006/relationships/image" Target="../media/image4.jpg"/><Relationship Id="rId51" Type="http://schemas.openxmlformats.org/officeDocument/2006/relationships/hyperlink" Target="https://result.election.gov.np/Images/symbol-hor-pa/2602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result.election.gov.np/Images/symbol-hor-pa/2509.jpg" TargetMode="External"/><Relationship Id="rId98" Type="http://schemas.openxmlformats.org/officeDocument/2006/relationships/image" Target="../media/image49.jpg"/><Relationship Id="rId3" Type="http://schemas.openxmlformats.org/officeDocument/2006/relationships/hyperlink" Target="https://result.election.gov.np/Images/symbol-hor-pa/2583.jpg" TargetMode="External"/><Relationship Id="rId25" Type="http://schemas.openxmlformats.org/officeDocument/2006/relationships/hyperlink" Target="https://result.election.gov.np/Images/symbol-hor-pa/2522.jp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result.election.gov.np/Images/symbol-hor-pa/2601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result.election.gov.np/Images/symbol-hor-pa/2591.jp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result.election.gov.np/Images/symbol-hor-pa/2529.jpg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result.election.gov.np/Images/symbol-hor-pa/2505.jp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</webImagesSrd>
</file>

<file path=xl/richData/rdrichvalue.xml><?xml version="1.0" encoding="utf-8"?>
<rvData xmlns="http://schemas.microsoft.com/office/spreadsheetml/2017/richdata" count="57">
  <rv s="0">
    <v>0</v>
    <v>1</v>
    <v>0</v>
    <v>1</v>
    <v>Logo: राष्ट्रिय स्वतन्त्र पार्टी</v>
  </rv>
  <rv s="0">
    <v>1</v>
    <v>1</v>
    <v>0</v>
    <v>1</v>
    <v>Logo: राष्ट्रिय स्वतन्त्र पार्टी</v>
  </rv>
  <rv s="0">
    <v>2</v>
    <v>1</v>
    <v>0</v>
    <v>1</v>
    <v>Logo: राष्ट्रिय स्वतन्त्र पार्टी</v>
  </rv>
  <rv s="0">
    <v>3</v>
    <v>1</v>
    <v>0</v>
    <v>1</v>
    <v>Logo: राष्ट्रिय स्वतन्त्र पार्टी</v>
  </rv>
  <rv s="0">
    <v>4</v>
    <v>1</v>
    <v>0</v>
    <v>1</v>
    <v>Logo: राष्ट्रिय स्वतन्त्र पार्टी</v>
  </rv>
  <rv s="0">
    <v>5</v>
    <v>1</v>
    <v>0</v>
    <v>1</v>
    <v>Logo: राष्ट्रिय स्वतन्त्र पार्टी</v>
  </rv>
  <rv s="0">
    <v>6</v>
    <v>1</v>
    <v>0</v>
    <v>1</v>
    <v>Logo: राष्ट्रिय स्वतन्त्र पार्टी</v>
  </rv>
  <rv s="0">
    <v>7</v>
    <v>1</v>
    <v>0</v>
    <v>1</v>
    <v>Logo: राष्ट्रिय स्वतन्त्र पार्टी</v>
  </rv>
  <rv s="0">
    <v>8</v>
    <v>1</v>
    <v>0</v>
    <v>1</v>
    <v>Logo: राष्ट्रिय स्वतन्त्र पार्टी</v>
  </rv>
  <rv s="0">
    <v>9</v>
    <v>1</v>
    <v>0</v>
    <v>1</v>
    <v>Logo: राष्ट्रिय स्वतन्त्र पार्टी</v>
  </rv>
  <rv s="0">
    <v>10</v>
    <v>1</v>
    <v>0</v>
    <v>1</v>
    <v>Logo: राष्ट्रिय स्वतन्त्र पार्टी</v>
  </rv>
  <rv s="0">
    <v>11</v>
    <v>1</v>
    <v>0</v>
    <v>1</v>
    <v>Logo: राष्ट्रिय स्वतन्त्र पार्टी</v>
  </rv>
  <rv s="0">
    <v>12</v>
    <v>1</v>
    <v>0</v>
    <v>1</v>
    <v>Logo: राष्ट्रिय स्वतन्त्र पार्टी</v>
  </rv>
  <rv s="0">
    <v>13</v>
    <v>1</v>
    <v>0</v>
    <v>1</v>
    <v>Logo: राष्ट्रिय स्वतन्त्र पार्टी</v>
  </rv>
  <rv s="0">
    <v>14</v>
    <v>1</v>
    <v>0</v>
    <v>1</v>
    <v>Logo: राष्ट्रिय स्वतन्त्र पार्टी</v>
  </rv>
  <rv s="0">
    <v>15</v>
    <v>1</v>
    <v>0</v>
    <v>1</v>
    <v>Logo: राष्ट्रिय स्वतन्त्र पार्टी</v>
  </rv>
  <rv s="0">
    <v>16</v>
    <v>1</v>
    <v>0</v>
    <v>1</v>
    <v>Logo: राष्ट्रिय स्वतन्त्र पार्टी</v>
  </rv>
  <rv s="0">
    <v>17</v>
    <v>1</v>
    <v>0</v>
    <v>1</v>
    <v>Logo: राष्ट्रिय स्वतन्त्र पार्टी</v>
  </rv>
  <rv s="0">
    <v>18</v>
    <v>1</v>
    <v>0</v>
    <v>1</v>
    <v>Logo: राष्ट्रिय स्वतन्त्र पार्टी</v>
  </rv>
  <rv s="0">
    <v>19</v>
    <v>1</v>
    <v>0</v>
    <v>1</v>
    <v>Logo: राष्ट्रिय स्वतन्त्र पार्टी</v>
  </rv>
  <rv s="0">
    <v>20</v>
    <v>1</v>
    <v>0</v>
    <v>1</v>
    <v>Logo: राष्ट्रिय स्वतन्त्र पार्टी</v>
  </rv>
  <rv s="0">
    <v>21</v>
    <v>1</v>
    <v>0</v>
    <v>1</v>
    <v>Logo: राष्ट्रिय स्वतन्त्र पार्टी</v>
  </rv>
  <rv s="0">
    <v>22</v>
    <v>1</v>
    <v>0</v>
    <v>1</v>
    <v>Logo: राष्ट्रिय स्वतन्त्र पार्टी</v>
  </rv>
  <rv s="0">
    <v>23</v>
    <v>1</v>
    <v>0</v>
    <v>1</v>
    <v>Logo: राष्ट्रिय स्वतन्त्र पार्टी</v>
  </rv>
  <rv s="0">
    <v>24</v>
    <v>1</v>
    <v>0</v>
    <v>1</v>
    <v>Logo: राष्ट्रिय स्वतन्त्र पार्टी</v>
  </rv>
  <rv s="0">
    <v>25</v>
    <v>1</v>
    <v>0</v>
    <v>1</v>
    <v>Logo: राष्ट्रिय स्वतन्त्र पार्टी</v>
  </rv>
  <rv s="0">
    <v>26</v>
    <v>1</v>
    <v>0</v>
    <v>1</v>
    <v>Logo: राष्ट्रिय स्वतन्त्र पार्टी</v>
  </rv>
  <rv s="0">
    <v>27</v>
    <v>1</v>
    <v>0</v>
    <v>1</v>
    <v>Logo: राष्ट्रिय स्वतन्त्र पार्टी</v>
  </rv>
  <rv s="0">
    <v>28</v>
    <v>1</v>
    <v>0</v>
    <v>1</v>
    <v>Logo: राष्ट्रिय स्वतन्त्र पार्टी</v>
  </rv>
  <rv s="0">
    <v>29</v>
    <v>1</v>
    <v>0</v>
    <v>1</v>
    <v>Logo: राष्ट्रिय स्वतन्त्र पार्टी</v>
  </rv>
  <rv s="0">
    <v>30</v>
    <v>1</v>
    <v>0</v>
    <v>1</v>
    <v>Logo: राष्ट्रिय स्वतन्त्र पार्टी</v>
  </rv>
  <rv s="0">
    <v>31</v>
    <v>1</v>
    <v>0</v>
    <v>1</v>
    <v>Logo: राष्ट्रिय स्वतन्त्र पार्टी</v>
  </rv>
  <rv s="0">
    <v>32</v>
    <v>1</v>
    <v>0</v>
    <v>1</v>
    <v>Logo: राष्ट्रिय स्वतन्त्र पार्टी</v>
  </rv>
  <rv s="0">
    <v>33</v>
    <v>1</v>
    <v>0</v>
    <v>1</v>
    <v>Logo: राष्ट्रिय स्वतन्त्र पार्टी</v>
  </rv>
  <rv s="0">
    <v>34</v>
    <v>1</v>
    <v>0</v>
    <v>1</v>
    <v>Logo: राष्ट्रिय स्वतन्त्र पार्टी</v>
  </rv>
  <rv s="0">
    <v>35</v>
    <v>1</v>
    <v>0</v>
    <v>1</v>
    <v>Logo: राष्ट्रिय स्वतन्त्र पार्टी</v>
  </rv>
  <rv s="0">
    <v>36</v>
    <v>1</v>
    <v>0</v>
    <v>1</v>
    <v>Logo: राष्ट्रिय स्वतन्त्र पार्टी</v>
  </rv>
  <rv s="0">
    <v>37</v>
    <v>1</v>
    <v>0</v>
    <v>1</v>
    <v>Logo: राष्ट्रिय स्वतन्त्र पार्टी</v>
  </rv>
  <rv s="0">
    <v>38</v>
    <v>1</v>
    <v>0</v>
    <v>1</v>
    <v>Logo: राष्ट्रिय स्वतन्त्र पार्टी</v>
  </rv>
  <rv s="0">
    <v>39</v>
    <v>1</v>
    <v>0</v>
    <v>1</v>
    <v>Logo: राष्ट्रिय स्वतन्त्र पार्टी</v>
  </rv>
  <rv s="0">
    <v>40</v>
    <v>1</v>
    <v>0</v>
    <v>1</v>
    <v>Logo: राष्ट्रिय स्वतन्त्र पार्टी</v>
  </rv>
  <rv s="0">
    <v>41</v>
    <v>1</v>
    <v>0</v>
    <v>1</v>
    <v>Logo: राष्ट्रिय स्वतन्त्र पार्टी</v>
  </rv>
  <rv s="0">
    <v>42</v>
    <v>1</v>
    <v>0</v>
    <v>1</v>
    <v>Logo: राष्ट्रिय स्वतन्त्र पार्टी</v>
  </rv>
  <rv s="0">
    <v>43</v>
    <v>1</v>
    <v>0</v>
    <v>1</v>
    <v>Logo: राष्ट्रिय स्वतन्त्र पार्टी</v>
  </rv>
  <rv s="0">
    <v>44</v>
    <v>1</v>
    <v>0</v>
    <v>1</v>
    <v>Logo: राष्ट्रिय स्वतन्त्र पार्टी</v>
  </rv>
  <rv s="0">
    <v>45</v>
    <v>1</v>
    <v>0</v>
    <v>1</v>
    <v>Logo: राष्ट्रिय स्वतन्त्र पार्टी</v>
  </rv>
  <rv s="0">
    <v>46</v>
    <v>1</v>
    <v>0</v>
    <v>1</v>
    <v>Logo: राष्ट्रिय स्वतन्त्र पार्टी</v>
  </rv>
  <rv s="0">
    <v>47</v>
    <v>1</v>
    <v>0</v>
    <v>1</v>
    <v>Logo: राष्ट्रिय स्वतन्त्र पार्टी</v>
  </rv>
  <rv s="0">
    <v>48</v>
    <v>1</v>
    <v>0</v>
    <v>1</v>
    <v>Logo: राष्ट्रिय स्वतन्त्र पार्टी</v>
  </rv>
  <rv s="0">
    <v>49</v>
    <v>1</v>
    <v>0</v>
    <v>1</v>
    <v>Logo: राष्ट्रिय स्वतन्त्र पार्टी</v>
  </rv>
  <rv s="0">
    <v>50</v>
    <v>1</v>
    <v>0</v>
    <v>1</v>
    <v>Logo: राष्ट्रिय स्वतन्त्र पार्टी</v>
  </rv>
  <rv s="0">
    <v>51</v>
    <v>1</v>
    <v>0</v>
    <v>1</v>
    <v>Logo: राष्ट्रिय स्वतन्त्र पार्टी</v>
  </rv>
  <rv s="0">
    <v>52</v>
    <v>1</v>
    <v>0</v>
    <v>1</v>
    <v>Logo: राष्ट्रिय स्वतन्त्र पार्टी</v>
  </rv>
  <rv s="0">
    <v>53</v>
    <v>1</v>
    <v>0</v>
    <v>1</v>
    <v>Logo: राष्ट्रिय स्वतन्त्र पार्टी</v>
  </rv>
  <rv s="0">
    <v>54</v>
    <v>1</v>
    <v>0</v>
    <v>1</v>
    <v>Logo: राष्ट्रिय स्वतन्त्र पार्टी</v>
  </rv>
  <rv s="0">
    <v>55</v>
    <v>1</v>
    <v>0</v>
    <v>1</v>
    <v>Logo: राष्ट्रिय स्वतन्त्र पार्टी</v>
  </rv>
  <rv s="0">
    <v>56</v>
    <v>1</v>
    <v>0</v>
    <v>1</v>
    <v>Logo: राष्ट्रिय स्वतन्त्र पार्टी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5" sqref="B5"/>
    </sheetView>
  </sheetViews>
  <sheetFormatPr defaultColWidth="5.7109375" defaultRowHeight="30" customHeight="1" x14ac:dyDescent="0.25"/>
  <cols>
    <col min="1" max="1" width="5.7109375" style="3"/>
    <col min="2" max="2" width="32.28515625" style="6" customWidth="1"/>
    <col min="3" max="3" width="13.7109375" style="3" customWidth="1"/>
    <col min="4" max="4" width="11.140625" style="3" customWidth="1"/>
    <col min="5" max="5" width="0" hidden="1" customWidth="1"/>
  </cols>
  <sheetData>
    <row r="1" spans="1:5" ht="22.5" customHeight="1" x14ac:dyDescent="0.25">
      <c r="A1" s="2" t="s">
        <v>0</v>
      </c>
      <c r="B1" s="5" t="s">
        <v>1</v>
      </c>
      <c r="C1" s="2" t="s">
        <v>2</v>
      </c>
      <c r="D1" s="2" t="s">
        <v>3</v>
      </c>
      <c r="E1" s="1" t="s">
        <v>4</v>
      </c>
    </row>
    <row r="2" spans="1:5" ht="30" customHeight="1" x14ac:dyDescent="0.25">
      <c r="A2" s="3" t="e" vm="1">
        <f>_xlfn.IMAGE(E2, "Logo: राष्ट्रिय स्वतन्त्र पार्टी", 1)</f>
        <v>#VALUE!</v>
      </c>
      <c r="B2" s="6" t="s">
        <v>5</v>
      </c>
      <c r="C2" s="3">
        <v>4364292</v>
      </c>
      <c r="D2" s="4">
        <f>C2/$C$59</f>
        <v>0.48437673242717438</v>
      </c>
      <c r="E2" t="s">
        <v>6</v>
      </c>
    </row>
    <row r="3" spans="1:5" ht="30" customHeight="1" x14ac:dyDescent="0.25">
      <c r="A3" s="3" t="e" vm="2">
        <f t="shared" ref="A3:A58" si="0">_xlfn.IMAGE(E3, "Logo: राष्ट्रिय स्वतन्त्र पार्टी", 1)</f>
        <v>#VALUE!</v>
      </c>
      <c r="B3" s="6" t="s">
        <v>7</v>
      </c>
      <c r="C3" s="3">
        <v>1455092</v>
      </c>
      <c r="D3" s="4">
        <f t="shared" ref="D3:D58" si="1">C3/$C$59</f>
        <v>0.16149531432381747</v>
      </c>
      <c r="E3" t="s">
        <v>8</v>
      </c>
    </row>
    <row r="4" spans="1:5" ht="30" customHeight="1" x14ac:dyDescent="0.25">
      <c r="A4" s="3" t="e" vm="3">
        <f t="shared" si="0"/>
        <v>#VALUE!</v>
      </c>
      <c r="B4" s="6" t="s">
        <v>9</v>
      </c>
      <c r="C4" s="3">
        <v>1221800</v>
      </c>
      <c r="D4" s="4">
        <f t="shared" si="1"/>
        <v>0.1356030924785788</v>
      </c>
      <c r="E4" t="s">
        <v>10</v>
      </c>
    </row>
    <row r="5" spans="1:5" ht="30" customHeight="1" x14ac:dyDescent="0.25">
      <c r="A5" s="3" t="e" vm="4">
        <f t="shared" si="0"/>
        <v>#VALUE!</v>
      </c>
      <c r="B5" s="6" t="s">
        <v>11</v>
      </c>
      <c r="C5" s="3">
        <v>645088</v>
      </c>
      <c r="D5" s="4">
        <f t="shared" si="1"/>
        <v>7.1595946734998722E-2</v>
      </c>
      <c r="E5" t="s">
        <v>12</v>
      </c>
    </row>
    <row r="6" spans="1:5" ht="30" customHeight="1" x14ac:dyDescent="0.25">
      <c r="A6" s="3" t="e" vm="5">
        <f t="shared" si="0"/>
        <v>#VALUE!</v>
      </c>
      <c r="B6" s="6" t="s">
        <v>13</v>
      </c>
      <c r="C6" s="3">
        <v>310886</v>
      </c>
      <c r="D6" s="4">
        <f t="shared" si="1"/>
        <v>3.4504094784985638E-2</v>
      </c>
      <c r="E6" t="s">
        <v>14</v>
      </c>
    </row>
    <row r="7" spans="1:5" ht="30" customHeight="1" x14ac:dyDescent="0.25">
      <c r="A7" s="3" t="e" vm="6">
        <f t="shared" si="0"/>
        <v>#VALUE!</v>
      </c>
      <c r="B7" s="6" t="s">
        <v>15</v>
      </c>
      <c r="C7" s="3">
        <v>292885</v>
      </c>
      <c r="D7" s="4">
        <f t="shared" si="1"/>
        <v>3.2506229939915331E-2</v>
      </c>
      <c r="E7" t="s">
        <v>16</v>
      </c>
    </row>
    <row r="8" spans="1:5" ht="30" customHeight="1" x14ac:dyDescent="0.25">
      <c r="A8" s="3" t="e" vm="7">
        <f t="shared" si="0"/>
        <v>#VALUE!</v>
      </c>
      <c r="B8" s="6" t="s">
        <v>17</v>
      </c>
      <c r="C8" s="3">
        <v>139075</v>
      </c>
      <c r="D8" s="4">
        <f t="shared" si="1"/>
        <v>1.5435423216940865E-2</v>
      </c>
      <c r="E8" t="s">
        <v>18</v>
      </c>
    </row>
    <row r="9" spans="1:5" ht="30" customHeight="1" x14ac:dyDescent="0.25">
      <c r="A9" s="3" t="e" vm="8">
        <f t="shared" si="0"/>
        <v>#VALUE!</v>
      </c>
      <c r="B9" s="6" t="s">
        <v>19</v>
      </c>
      <c r="C9" s="3">
        <v>135560</v>
      </c>
      <c r="D9" s="4">
        <f t="shared" si="1"/>
        <v>1.5045306282858195E-2</v>
      </c>
      <c r="E9" t="s">
        <v>20</v>
      </c>
    </row>
    <row r="10" spans="1:5" ht="30" customHeight="1" x14ac:dyDescent="0.25">
      <c r="A10" s="3" t="e" vm="9">
        <f t="shared" si="0"/>
        <v>#VALUE!</v>
      </c>
      <c r="B10" s="6" t="s">
        <v>21</v>
      </c>
      <c r="C10" s="3">
        <v>62114</v>
      </c>
      <c r="D10" s="4">
        <f t="shared" si="1"/>
        <v>6.8938046212264235E-3</v>
      </c>
      <c r="E10" t="s">
        <v>22</v>
      </c>
    </row>
    <row r="11" spans="1:5" ht="30" customHeight="1" x14ac:dyDescent="0.25">
      <c r="A11" s="3" t="e" vm="10">
        <f t="shared" si="0"/>
        <v>#VALUE!</v>
      </c>
      <c r="B11" s="6" t="s">
        <v>23</v>
      </c>
      <c r="C11" s="3">
        <v>49993</v>
      </c>
      <c r="D11" s="4">
        <f t="shared" si="1"/>
        <v>5.5485393700127599E-3</v>
      </c>
      <c r="E11" t="s">
        <v>24</v>
      </c>
    </row>
    <row r="12" spans="1:5" ht="30" customHeight="1" x14ac:dyDescent="0.25">
      <c r="A12" s="3" t="e" vm="11">
        <f t="shared" si="0"/>
        <v>#VALUE!</v>
      </c>
      <c r="B12" s="6" t="s">
        <v>25</v>
      </c>
      <c r="C12" s="3">
        <v>40195</v>
      </c>
      <c r="D12" s="4">
        <f t="shared" si="1"/>
        <v>4.4610953529026645E-3</v>
      </c>
      <c r="E12" t="s">
        <v>26</v>
      </c>
    </row>
    <row r="13" spans="1:5" ht="30" customHeight="1" x14ac:dyDescent="0.25">
      <c r="A13" s="3" t="e" vm="12">
        <f t="shared" si="0"/>
        <v>#VALUE!</v>
      </c>
      <c r="B13" s="6" t="s">
        <v>27</v>
      </c>
      <c r="C13" s="3">
        <v>29075</v>
      </c>
      <c r="D13" s="4">
        <f t="shared" si="1"/>
        <v>3.22692741350031E-3</v>
      </c>
      <c r="E13" t="s">
        <v>28</v>
      </c>
    </row>
    <row r="14" spans="1:5" ht="30" customHeight="1" x14ac:dyDescent="0.25">
      <c r="A14" s="3" t="e" vm="13">
        <f t="shared" si="0"/>
        <v>#VALUE!</v>
      </c>
      <c r="B14" s="6" t="s">
        <v>29</v>
      </c>
      <c r="C14" s="3">
        <v>27789</v>
      </c>
      <c r="D14" s="4">
        <f t="shared" si="1"/>
        <v>3.0841989989255415E-3</v>
      </c>
      <c r="E14" t="s">
        <v>30</v>
      </c>
    </row>
    <row r="15" spans="1:5" ht="30" customHeight="1" x14ac:dyDescent="0.25">
      <c r="A15" s="3" t="e" vm="14">
        <f t="shared" si="0"/>
        <v>#VALUE!</v>
      </c>
      <c r="B15" s="6" t="s">
        <v>31</v>
      </c>
      <c r="C15" s="3">
        <v>23028</v>
      </c>
      <c r="D15" s="4">
        <f t="shared" si="1"/>
        <v>2.5557931032875372E-3</v>
      </c>
      <c r="E15" t="s">
        <v>32</v>
      </c>
    </row>
    <row r="16" spans="1:5" ht="30" customHeight="1" x14ac:dyDescent="0.25">
      <c r="A16" s="3" t="e" vm="15">
        <f t="shared" si="0"/>
        <v>#VALUE!</v>
      </c>
      <c r="B16" s="6" t="s">
        <v>33</v>
      </c>
      <c r="C16" s="3">
        <v>20991</v>
      </c>
      <c r="D16" s="4">
        <f t="shared" si="1"/>
        <v>2.3297139582729152E-3</v>
      </c>
      <c r="E16" t="s">
        <v>34</v>
      </c>
    </row>
    <row r="17" spans="1:5" ht="30" customHeight="1" x14ac:dyDescent="0.25">
      <c r="A17" s="3" t="e" vm="16">
        <f t="shared" si="0"/>
        <v>#VALUE!</v>
      </c>
      <c r="B17" s="6" t="s">
        <v>35</v>
      </c>
      <c r="C17" s="3">
        <v>20536</v>
      </c>
      <c r="D17" s="4">
        <f t="shared" si="1"/>
        <v>2.2792151801768654E-3</v>
      </c>
      <c r="E17" t="s">
        <v>36</v>
      </c>
    </row>
    <row r="18" spans="1:5" ht="30" customHeight="1" x14ac:dyDescent="0.25">
      <c r="A18" s="3" t="e" vm="17">
        <f t="shared" si="0"/>
        <v>#VALUE!</v>
      </c>
      <c r="B18" s="6" t="s">
        <v>37</v>
      </c>
      <c r="C18" s="3">
        <v>20491</v>
      </c>
      <c r="D18" s="4">
        <f t="shared" si="1"/>
        <v>2.2742207955300034E-3</v>
      </c>
      <c r="E18" t="s">
        <v>38</v>
      </c>
    </row>
    <row r="19" spans="1:5" ht="30" customHeight="1" x14ac:dyDescent="0.25">
      <c r="A19" s="3" t="e" vm="18">
        <f t="shared" si="0"/>
        <v>#VALUE!</v>
      </c>
      <c r="B19" s="6" t="s">
        <v>39</v>
      </c>
      <c r="C19" s="3">
        <v>17214</v>
      </c>
      <c r="D19" s="4">
        <f t="shared" si="1"/>
        <v>1.9105186069129608E-3</v>
      </c>
      <c r="E19" t="s">
        <v>40</v>
      </c>
    </row>
    <row r="20" spans="1:5" ht="30" customHeight="1" x14ac:dyDescent="0.25">
      <c r="A20" s="3" t="e" vm="19">
        <f t="shared" si="0"/>
        <v>#VALUE!</v>
      </c>
      <c r="B20" s="6" t="s">
        <v>41</v>
      </c>
      <c r="C20" s="3">
        <v>12082</v>
      </c>
      <c r="D20" s="4">
        <f t="shared" si="1"/>
        <v>1.3409367845197162E-3</v>
      </c>
      <c r="E20" t="s">
        <v>42</v>
      </c>
    </row>
    <row r="21" spans="1:5" ht="30" customHeight="1" x14ac:dyDescent="0.25">
      <c r="A21" s="3" t="e" vm="20">
        <f t="shared" si="0"/>
        <v>#VALUE!</v>
      </c>
      <c r="B21" s="6" t="s">
        <v>43</v>
      </c>
      <c r="C21" s="3">
        <v>11051</v>
      </c>
      <c r="D21" s="4">
        <f t="shared" si="1"/>
        <v>1.2265098829438324E-3</v>
      </c>
      <c r="E21" t="s">
        <v>44</v>
      </c>
    </row>
    <row r="22" spans="1:5" ht="30" customHeight="1" x14ac:dyDescent="0.25">
      <c r="A22" s="3" t="e" vm="21">
        <f t="shared" si="0"/>
        <v>#VALUE!</v>
      </c>
      <c r="B22" s="6" t="s">
        <v>45</v>
      </c>
      <c r="C22" s="3">
        <v>8698</v>
      </c>
      <c r="D22" s="4">
        <f t="shared" si="1"/>
        <v>9.6535905907569036E-4</v>
      </c>
      <c r="E22" t="s">
        <v>46</v>
      </c>
    </row>
    <row r="23" spans="1:5" ht="30" customHeight="1" x14ac:dyDescent="0.25">
      <c r="A23" s="3" t="e" vm="22">
        <f t="shared" si="0"/>
        <v>#VALUE!</v>
      </c>
      <c r="B23" s="6" t="s">
        <v>47</v>
      </c>
      <c r="C23" s="3">
        <v>7495</v>
      </c>
      <c r="D23" s="4">
        <f t="shared" si="1"/>
        <v>8.3184250951624501E-4</v>
      </c>
      <c r="E23" t="s">
        <v>48</v>
      </c>
    </row>
    <row r="24" spans="1:5" ht="30" customHeight="1" x14ac:dyDescent="0.25">
      <c r="A24" s="3" t="e" vm="23">
        <f t="shared" si="0"/>
        <v>#VALUE!</v>
      </c>
      <c r="B24" s="6" t="s">
        <v>49</v>
      </c>
      <c r="C24" s="3">
        <v>6141</v>
      </c>
      <c r="D24" s="4">
        <f t="shared" si="1"/>
        <v>6.8156702480844035E-4</v>
      </c>
      <c r="E24" t="s">
        <v>50</v>
      </c>
    </row>
    <row r="25" spans="1:5" ht="30" customHeight="1" x14ac:dyDescent="0.25">
      <c r="A25" s="3" t="e" vm="24">
        <f t="shared" si="0"/>
        <v>#VALUE!</v>
      </c>
      <c r="B25" s="6" t="s">
        <v>51</v>
      </c>
      <c r="C25" s="3">
        <v>5892</v>
      </c>
      <c r="D25" s="4">
        <f t="shared" si="1"/>
        <v>6.5393142976247036E-4</v>
      </c>
      <c r="E25" t="s">
        <v>52</v>
      </c>
    </row>
    <row r="26" spans="1:5" ht="30" customHeight="1" x14ac:dyDescent="0.25">
      <c r="A26" s="3" t="e" vm="25">
        <f t="shared" si="0"/>
        <v>#VALUE!</v>
      </c>
      <c r="B26" s="6" t="s">
        <v>53</v>
      </c>
      <c r="C26" s="3">
        <v>5860</v>
      </c>
      <c r="D26" s="4">
        <f t="shared" si="1"/>
        <v>6.5037986734692407E-4</v>
      </c>
      <c r="E26" t="s">
        <v>54</v>
      </c>
    </row>
    <row r="27" spans="1:5" ht="30" customHeight="1" x14ac:dyDescent="0.25">
      <c r="A27" s="3" t="e" vm="26">
        <f t="shared" si="0"/>
        <v>#VALUE!</v>
      </c>
      <c r="B27" s="6" t="s">
        <v>55</v>
      </c>
      <c r="C27" s="3">
        <v>4920</v>
      </c>
      <c r="D27" s="4">
        <f t="shared" si="1"/>
        <v>5.4605272139025027E-4</v>
      </c>
      <c r="E27" t="s">
        <v>56</v>
      </c>
    </row>
    <row r="28" spans="1:5" ht="30" customHeight="1" x14ac:dyDescent="0.25">
      <c r="A28" s="3" t="e" vm="27">
        <f t="shared" si="0"/>
        <v>#VALUE!</v>
      </c>
      <c r="B28" s="6" t="s">
        <v>57</v>
      </c>
      <c r="C28" s="3">
        <v>4560</v>
      </c>
      <c r="D28" s="4">
        <f t="shared" si="1"/>
        <v>5.0609764421535386E-4</v>
      </c>
      <c r="E28" t="s">
        <v>58</v>
      </c>
    </row>
    <row r="29" spans="1:5" ht="30" customHeight="1" x14ac:dyDescent="0.25">
      <c r="A29" s="3" t="e" vm="28">
        <f t="shared" si="0"/>
        <v>#VALUE!</v>
      </c>
      <c r="B29" s="6" t="s">
        <v>59</v>
      </c>
      <c r="C29" s="3">
        <v>4347</v>
      </c>
      <c r="D29" s="4">
        <f t="shared" si="1"/>
        <v>4.8245755688687352E-4</v>
      </c>
      <c r="E29" t="s">
        <v>60</v>
      </c>
    </row>
    <row r="30" spans="1:5" ht="30" customHeight="1" x14ac:dyDescent="0.25">
      <c r="A30" s="3" t="e" vm="29">
        <f t="shared" si="0"/>
        <v>#VALUE!</v>
      </c>
      <c r="B30" s="6" t="s">
        <v>61</v>
      </c>
      <c r="C30" s="3">
        <v>4235</v>
      </c>
      <c r="D30" s="4">
        <f t="shared" si="1"/>
        <v>4.7002708843246131E-4</v>
      </c>
      <c r="E30" t="s">
        <v>62</v>
      </c>
    </row>
    <row r="31" spans="1:5" ht="30" customHeight="1" x14ac:dyDescent="0.25">
      <c r="A31" s="3" t="e" vm="30">
        <f t="shared" si="0"/>
        <v>#VALUE!</v>
      </c>
      <c r="B31" s="6" t="s">
        <v>63</v>
      </c>
      <c r="C31" s="3">
        <v>4083</v>
      </c>
      <c r="D31" s="4">
        <f t="shared" si="1"/>
        <v>4.5315716695861619E-4</v>
      </c>
      <c r="E31" t="s">
        <v>64</v>
      </c>
    </row>
    <row r="32" spans="1:5" ht="30" customHeight="1" x14ac:dyDescent="0.25">
      <c r="A32" s="3" t="e" vm="31">
        <f t="shared" si="0"/>
        <v>#VALUE!</v>
      </c>
      <c r="B32" s="6" t="s">
        <v>65</v>
      </c>
      <c r="C32" s="3">
        <v>4051</v>
      </c>
      <c r="D32" s="4">
        <f t="shared" si="1"/>
        <v>4.4960560454306985E-4</v>
      </c>
      <c r="E32" t="s">
        <v>66</v>
      </c>
    </row>
    <row r="33" spans="1:5" ht="30" customHeight="1" x14ac:dyDescent="0.25">
      <c r="A33" s="3" t="e" vm="32">
        <f t="shared" si="0"/>
        <v>#VALUE!</v>
      </c>
      <c r="B33" s="6" t="s">
        <v>67</v>
      </c>
      <c r="C33" s="3">
        <v>3956</v>
      </c>
      <c r="D33" s="4">
        <f t="shared" si="1"/>
        <v>4.3906190362191663E-4</v>
      </c>
      <c r="E33" t="s">
        <v>68</v>
      </c>
    </row>
    <row r="34" spans="1:5" ht="30" customHeight="1" x14ac:dyDescent="0.25">
      <c r="A34" s="3" t="e" vm="33">
        <f t="shared" si="0"/>
        <v>#VALUE!</v>
      </c>
      <c r="B34" s="6" t="s">
        <v>69</v>
      </c>
      <c r="C34" s="3">
        <v>3818</v>
      </c>
      <c r="D34" s="4">
        <f t="shared" si="1"/>
        <v>4.2374579070487305E-4</v>
      </c>
      <c r="E34" t="s">
        <v>70</v>
      </c>
    </row>
    <row r="35" spans="1:5" ht="30" customHeight="1" x14ac:dyDescent="0.25">
      <c r="A35" s="3" t="e" vm="34">
        <f t="shared" si="0"/>
        <v>#VALUE!</v>
      </c>
      <c r="B35" s="6" t="s">
        <v>71</v>
      </c>
      <c r="C35" s="3">
        <v>3615</v>
      </c>
      <c r="D35" s="4">
        <f t="shared" si="1"/>
        <v>4.0121556663125094E-4</v>
      </c>
      <c r="E35" t="s">
        <v>72</v>
      </c>
    </row>
    <row r="36" spans="1:5" ht="30" customHeight="1" x14ac:dyDescent="0.25">
      <c r="A36" s="3" t="e" vm="35">
        <f t="shared" si="0"/>
        <v>#VALUE!</v>
      </c>
      <c r="B36" s="6" t="s">
        <v>73</v>
      </c>
      <c r="C36" s="3">
        <v>3474</v>
      </c>
      <c r="D36" s="4">
        <f t="shared" si="1"/>
        <v>3.8556649473774985E-4</v>
      </c>
      <c r="E36" t="s">
        <v>74</v>
      </c>
    </row>
    <row r="37" spans="1:5" ht="30" customHeight="1" x14ac:dyDescent="0.25">
      <c r="A37" s="3" t="e" vm="36">
        <f t="shared" si="0"/>
        <v>#VALUE!</v>
      </c>
      <c r="B37" s="6" t="s">
        <v>75</v>
      </c>
      <c r="C37" s="3">
        <v>3405</v>
      </c>
      <c r="D37" s="4">
        <f t="shared" si="1"/>
        <v>3.7790843827922806E-4</v>
      </c>
      <c r="E37" t="s">
        <v>76</v>
      </c>
    </row>
    <row r="38" spans="1:5" ht="30" customHeight="1" x14ac:dyDescent="0.25">
      <c r="A38" s="3" t="e" vm="37">
        <f t="shared" si="0"/>
        <v>#VALUE!</v>
      </c>
      <c r="B38" s="6" t="s">
        <v>77</v>
      </c>
      <c r="C38" s="3">
        <v>3246</v>
      </c>
      <c r="D38" s="4">
        <f t="shared" si="1"/>
        <v>3.6026161252698216E-4</v>
      </c>
      <c r="E38" t="s">
        <v>78</v>
      </c>
    </row>
    <row r="39" spans="1:5" ht="30" customHeight="1" x14ac:dyDescent="0.25">
      <c r="A39" s="3" t="e" vm="38">
        <f t="shared" si="0"/>
        <v>#VALUE!</v>
      </c>
      <c r="B39" s="6" t="s">
        <v>79</v>
      </c>
      <c r="C39" s="3">
        <v>2709</v>
      </c>
      <c r="D39" s="4">
        <f t="shared" si="1"/>
        <v>3.0066195574109507E-4</v>
      </c>
      <c r="E39" t="s">
        <v>80</v>
      </c>
    </row>
    <row r="40" spans="1:5" ht="30" customHeight="1" x14ac:dyDescent="0.25">
      <c r="A40" s="3" t="e" vm="39">
        <f t="shared" si="0"/>
        <v>#VALUE!</v>
      </c>
      <c r="B40" s="6" t="s">
        <v>81</v>
      </c>
      <c r="C40" s="3">
        <v>2388</v>
      </c>
      <c r="D40" s="4">
        <f t="shared" si="1"/>
        <v>2.6503534526014583E-4</v>
      </c>
      <c r="E40" t="s">
        <v>82</v>
      </c>
    </row>
    <row r="41" spans="1:5" ht="30" customHeight="1" x14ac:dyDescent="0.25">
      <c r="A41" s="3" t="e" vm="40">
        <f t="shared" si="0"/>
        <v>#VALUE!</v>
      </c>
      <c r="B41" s="6" t="s">
        <v>83</v>
      </c>
      <c r="C41" s="3">
        <v>2368</v>
      </c>
      <c r="D41" s="4">
        <f t="shared" si="1"/>
        <v>2.6281561875042938E-4</v>
      </c>
      <c r="E41" t="s">
        <v>84</v>
      </c>
    </row>
    <row r="42" spans="1:5" ht="30" customHeight="1" x14ac:dyDescent="0.25">
      <c r="A42" s="3" t="e" vm="41">
        <f t="shared" si="0"/>
        <v>#VALUE!</v>
      </c>
      <c r="B42" s="6" t="s">
        <v>85</v>
      </c>
      <c r="C42" s="3">
        <v>2288</v>
      </c>
      <c r="D42" s="4">
        <f t="shared" si="1"/>
        <v>2.539367127115635E-4</v>
      </c>
      <c r="E42" t="s">
        <v>86</v>
      </c>
    </row>
    <row r="43" spans="1:5" ht="30" customHeight="1" x14ac:dyDescent="0.25">
      <c r="A43" s="3" t="e" vm="42">
        <f t="shared" si="0"/>
        <v>#VALUE!</v>
      </c>
      <c r="B43" s="6" t="s">
        <v>87</v>
      </c>
      <c r="C43" s="3">
        <v>1852</v>
      </c>
      <c r="D43" s="4">
        <f t="shared" si="1"/>
        <v>2.0554667479974459E-4</v>
      </c>
      <c r="E43" t="s">
        <v>88</v>
      </c>
    </row>
    <row r="44" spans="1:5" ht="30" customHeight="1" x14ac:dyDescent="0.25">
      <c r="A44" s="3" t="e" vm="43">
        <f t="shared" si="0"/>
        <v>#VALUE!</v>
      </c>
      <c r="B44" s="6" t="s">
        <v>89</v>
      </c>
      <c r="C44" s="3">
        <v>1777</v>
      </c>
      <c r="D44" s="4">
        <f t="shared" si="1"/>
        <v>1.9722270038830786E-4</v>
      </c>
      <c r="E44" t="s">
        <v>90</v>
      </c>
    </row>
    <row r="45" spans="1:5" ht="30" customHeight="1" x14ac:dyDescent="0.25">
      <c r="A45" s="3" t="e" vm="44">
        <f t="shared" si="0"/>
        <v>#VALUE!</v>
      </c>
      <c r="B45" s="6" t="s">
        <v>91</v>
      </c>
      <c r="C45" s="3">
        <v>1775</v>
      </c>
      <c r="D45" s="4">
        <f t="shared" si="1"/>
        <v>1.970007277373362E-4</v>
      </c>
      <c r="E45" t="s">
        <v>92</v>
      </c>
    </row>
    <row r="46" spans="1:5" ht="30" customHeight="1" x14ac:dyDescent="0.25">
      <c r="A46" s="3" t="e" vm="45">
        <f t="shared" si="0"/>
        <v>#VALUE!</v>
      </c>
      <c r="B46" s="6" t="s">
        <v>93</v>
      </c>
      <c r="C46" s="3">
        <v>1651</v>
      </c>
      <c r="D46" s="4">
        <f t="shared" si="1"/>
        <v>1.8323842337709414E-4</v>
      </c>
      <c r="E46" t="s">
        <v>94</v>
      </c>
    </row>
    <row r="47" spans="1:5" ht="30" customHeight="1" x14ac:dyDescent="0.25">
      <c r="A47" s="3" t="e" vm="46">
        <f t="shared" si="0"/>
        <v>#VALUE!</v>
      </c>
      <c r="B47" s="6" t="s">
        <v>95</v>
      </c>
      <c r="C47" s="3">
        <v>1477</v>
      </c>
      <c r="D47" s="4">
        <f t="shared" si="1"/>
        <v>1.639268027425609E-4</v>
      </c>
      <c r="E47" t="s">
        <v>96</v>
      </c>
    </row>
    <row r="48" spans="1:5" ht="30" customHeight="1" x14ac:dyDescent="0.25">
      <c r="A48" s="3" t="e" vm="47">
        <f t="shared" si="0"/>
        <v>#VALUE!</v>
      </c>
      <c r="B48" s="6" t="s">
        <v>97</v>
      </c>
      <c r="C48" s="3">
        <v>1406</v>
      </c>
      <c r="D48" s="4">
        <f t="shared" si="1"/>
        <v>1.5604677363306746E-4</v>
      </c>
      <c r="E48" t="s">
        <v>98</v>
      </c>
    </row>
    <row r="49" spans="1:5" ht="30" customHeight="1" x14ac:dyDescent="0.25">
      <c r="A49" s="3" t="e" vm="48">
        <f t="shared" si="0"/>
        <v>#VALUE!</v>
      </c>
      <c r="B49" s="6" t="s">
        <v>99</v>
      </c>
      <c r="C49" s="3">
        <v>1386</v>
      </c>
      <c r="D49" s="4">
        <f t="shared" si="1"/>
        <v>1.5382704712335097E-4</v>
      </c>
      <c r="E49" t="s">
        <v>100</v>
      </c>
    </row>
    <row r="50" spans="1:5" ht="30" customHeight="1" x14ac:dyDescent="0.25">
      <c r="A50" s="3" t="e" vm="49">
        <f t="shared" si="0"/>
        <v>#VALUE!</v>
      </c>
      <c r="B50" s="6" t="s">
        <v>101</v>
      </c>
      <c r="C50" s="3">
        <v>1286</v>
      </c>
      <c r="D50" s="4">
        <f t="shared" si="1"/>
        <v>1.4272841457476865E-4</v>
      </c>
      <c r="E50" t="s">
        <v>102</v>
      </c>
    </row>
    <row r="51" spans="1:5" ht="30" customHeight="1" x14ac:dyDescent="0.25">
      <c r="A51" s="3" t="e" vm="50">
        <f t="shared" si="0"/>
        <v>#VALUE!</v>
      </c>
      <c r="B51" s="6" t="s">
        <v>103</v>
      </c>
      <c r="C51" s="3">
        <v>1162</v>
      </c>
      <c r="D51" s="4">
        <f t="shared" si="1"/>
        <v>1.2896611021452658E-4</v>
      </c>
      <c r="E51" t="s">
        <v>104</v>
      </c>
    </row>
    <row r="52" spans="1:5" ht="30" customHeight="1" x14ac:dyDescent="0.25">
      <c r="A52" s="3" t="e" vm="51">
        <f t="shared" si="0"/>
        <v>#VALUE!</v>
      </c>
      <c r="B52" s="6" t="s">
        <v>105</v>
      </c>
      <c r="C52" s="3">
        <v>1135</v>
      </c>
      <c r="D52" s="4">
        <f t="shared" si="1"/>
        <v>1.2596947942640935E-4</v>
      </c>
      <c r="E52" t="s">
        <v>106</v>
      </c>
    </row>
    <row r="53" spans="1:5" ht="30" customHeight="1" x14ac:dyDescent="0.25">
      <c r="A53" s="3" t="e" vm="52">
        <f t="shared" si="0"/>
        <v>#VALUE!</v>
      </c>
      <c r="B53" s="6" t="s">
        <v>107</v>
      </c>
      <c r="C53" s="3">
        <v>1072</v>
      </c>
      <c r="D53" s="4">
        <f t="shared" si="1"/>
        <v>1.1897734092080249E-4</v>
      </c>
      <c r="E53" t="s">
        <v>108</v>
      </c>
    </row>
    <row r="54" spans="1:5" ht="30" customHeight="1" x14ac:dyDescent="0.25">
      <c r="A54" s="3" t="e" vm="53">
        <f t="shared" si="0"/>
        <v>#VALUE!</v>
      </c>
      <c r="B54" s="6" t="s">
        <v>109</v>
      </c>
      <c r="C54" s="3">
        <v>918</v>
      </c>
      <c r="D54" s="4">
        <f t="shared" si="1"/>
        <v>1.0188544679598571E-4</v>
      </c>
      <c r="E54" t="s">
        <v>110</v>
      </c>
    </row>
    <row r="55" spans="1:5" ht="30" customHeight="1" x14ac:dyDescent="0.25">
      <c r="A55" s="3" t="e" vm="54">
        <f t="shared" si="0"/>
        <v>#VALUE!</v>
      </c>
      <c r="B55" s="6" t="s">
        <v>111</v>
      </c>
      <c r="C55" s="3">
        <v>736</v>
      </c>
      <c r="D55" s="4">
        <f t="shared" si="1"/>
        <v>8.1685935557565894E-5</v>
      </c>
      <c r="E55" t="s">
        <v>112</v>
      </c>
    </row>
    <row r="56" spans="1:5" ht="30" customHeight="1" x14ac:dyDescent="0.25">
      <c r="A56" s="3" t="e" vm="55">
        <f t="shared" si="0"/>
        <v>#VALUE!</v>
      </c>
      <c r="B56" s="6" t="s">
        <v>113</v>
      </c>
      <c r="C56" s="3">
        <v>606</v>
      </c>
      <c r="D56" s="4">
        <f t="shared" si="1"/>
        <v>6.725771324440887E-5</v>
      </c>
      <c r="E56" t="s">
        <v>114</v>
      </c>
    </row>
    <row r="57" spans="1:5" ht="30" customHeight="1" x14ac:dyDescent="0.25">
      <c r="A57" s="3" t="e" vm="56">
        <f t="shared" si="0"/>
        <v>#VALUE!</v>
      </c>
      <c r="B57" s="6" t="s">
        <v>115</v>
      </c>
      <c r="C57" s="3">
        <v>547</v>
      </c>
      <c r="D57" s="4">
        <f t="shared" si="1"/>
        <v>6.07095200407453E-5</v>
      </c>
      <c r="E57" t="s">
        <v>116</v>
      </c>
    </row>
    <row r="58" spans="1:5" ht="30" customHeight="1" x14ac:dyDescent="0.25">
      <c r="A58" s="3" t="e" vm="57">
        <f t="shared" si="0"/>
        <v>#VALUE!</v>
      </c>
      <c r="B58" s="6" t="s">
        <v>117</v>
      </c>
      <c r="C58" s="3">
        <v>547</v>
      </c>
      <c r="D58" s="4">
        <f t="shared" si="1"/>
        <v>6.07095200407453E-5</v>
      </c>
      <c r="E58" t="s">
        <v>118</v>
      </c>
    </row>
    <row r="59" spans="1:5" ht="30" customHeight="1" x14ac:dyDescent="0.25">
      <c r="C59" s="7">
        <f>SUM(C2:C58)</f>
        <v>9010119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2026-03-09T08:48:33Z</dcterms:created>
  <dcterms:modified xsi:type="dcterms:W3CDTF">2026-03-09T08:53:22Z</dcterms:modified>
</cp:coreProperties>
</file>